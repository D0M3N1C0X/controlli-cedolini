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ggimi" sheetId="1" state="visible" r:id="rId1"/>
    <sheet xmlns:r="http://schemas.openxmlformats.org/officeDocument/2006/relationships" name="Riepilogo" sheetId="2" state="visible" r:id="rId2"/>
    <sheet xmlns:r="http://schemas.openxmlformats.org/officeDocument/2006/relationships" name="Settembre" sheetId="3" state="visible" r:id="rId3"/>
    <sheet xmlns:r="http://schemas.openxmlformats.org/officeDocument/2006/relationships" name="Agosto" sheetId="4" state="visible" r:id="rId4"/>
    <sheet xmlns:r="http://schemas.openxmlformats.org/officeDocument/2006/relationships" name="F24" sheetId="5" state="visible" r:id="rId5"/>
    <sheet xmlns:r="http://schemas.openxmlformats.org/officeDocument/2006/relationships" name="Novembre 2026" sheetId="6" state="visible" r:id="rId6"/>
    <sheet xmlns:r="http://schemas.openxmlformats.org/officeDocument/2006/relationships" name="CCNL" sheetId="7" state="visible" r:id="rId7"/>
    <sheet xmlns:r="http://schemas.openxmlformats.org/officeDocument/2006/relationships" name="Parametri" sheetId="8" state="visible" r:id="rId8"/>
    <sheet xmlns:r="http://schemas.openxmlformats.org/officeDocument/2006/relationships" name="Codice fiscale" sheetId="9" state="visible" r:id="rId9"/>
    <sheet xmlns:r="http://schemas.openxmlformats.org/officeDocument/2006/relationships" name="Riconciliazione" sheetId="10" state="visible" r:id="rId10"/>
  </sheets>
  <definedNames>
    <definedName name="_xlnm._FilterDatabase" localSheetId="2" hidden="1">'Settembre'!$A$4:$AS$126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DD/MM/YYYY"/>
    <numFmt numFmtId="166" formatCode="0.0"/>
    <numFmt numFmtId="167" formatCode="0.0000"/>
    <numFmt numFmtId="168" formatCode="&quot;€&quot;#,##0.00;-&quot;€&quot;#,##0.00;&quot;-&quot;"/>
    <numFmt numFmtId="169" formatCode="0.000000"/>
    <numFmt numFmtId="170" formatCode="0.0E+00"/>
  </numFmts>
  <fonts count="15">
    <font>
      <name val="Calibri"/>
      <family val="2"/>
      <color theme="1"/>
      <sz val="11"/>
      <scheme val="minor"/>
    </font>
    <font>
      <name val="Arial"/>
      <b val="1"/>
      <color rgb="001B2430"/>
      <sz val="14"/>
    </font>
    <font>
      <name val="Arial"/>
      <i val="1"/>
      <color rgb="005F6B7A"/>
      <sz val="10"/>
    </font>
    <font>
      <name val="Arial"/>
      <b val="1"/>
      <color rgb="00FFFFFF"/>
      <sz val="10"/>
    </font>
    <font>
      <name val="Arial"/>
      <color rgb="001B2430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color rgb="001B2430"/>
      <sz val="10"/>
    </font>
    <font>
      <name val="Arial"/>
      <b val="1"/>
      <color rgb="001B2430"/>
      <sz val="11"/>
    </font>
    <font>
      <name val="Arial"/>
      <b val="1"/>
      <color rgb="001B2430"/>
      <sz val="12"/>
    </font>
    <font>
      <name val="Arial"/>
      <b val="1"/>
      <color rgb="001B2430"/>
      <sz val="18"/>
    </font>
    <font>
      <name val="Arial"/>
      <color rgb="005F6B7A"/>
      <sz val="12"/>
    </font>
    <font>
      <name val="Arial"/>
      <color rgb="001F5FA8"/>
      <sz val="10"/>
    </font>
    <font>
      <name val="Arial"/>
      <b val="1"/>
      <color rgb="00008000"/>
      <sz val="10"/>
    </font>
    <font>
      <name val="Arial"/>
      <color rgb="005F6B7A"/>
      <sz val="10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4" fillId="0" borderId="0" applyAlignment="1" pivotButton="0" quotePrefix="0" xfId="0">
      <alignment vertical="top" wrapText="1"/>
    </xf>
    <xf numFmtId="0" fontId="14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7" fillId="0" borderId="0" pivotButton="0" quotePrefix="0" xfId="0"/>
    <xf numFmtId="168" fontId="4" fillId="0" borderId="0" pivotButton="0" quotePrefix="0" xfId="0"/>
    <xf numFmtId="168" fontId="7" fillId="0" borderId="0" pivotButton="0" quotePrefix="0" xfId="0"/>
    <xf numFmtId="0" fontId="5" fillId="0" borderId="0" pivotButton="0" quotePrefix="0" xfId="0"/>
    <xf numFmtId="165" fontId="5" fillId="0" borderId="0" pivotButton="0" quotePrefix="0" xfId="0"/>
    <xf numFmtId="4" fontId="5" fillId="0" borderId="0" pivotButton="0" quotePrefix="0" xfId="0"/>
    <xf numFmtId="167" fontId="5" fillId="0" borderId="0" pivotButton="0" quotePrefix="0" xfId="0"/>
    <xf numFmtId="4" fontId="4" fillId="0" borderId="0" pivotButton="0" quotePrefix="0" xfId="0"/>
    <xf numFmtId="167" fontId="6" fillId="0" borderId="0" pivotButton="0" quotePrefix="0" xfId="0"/>
    <xf numFmtId="167" fontId="4" fillId="0" borderId="0" pivotButton="0" quotePrefix="0" xfId="0"/>
    <xf numFmtId="4" fontId="6" fillId="0" borderId="0" pivotButton="0" quotePrefix="0" xfId="0"/>
    <xf numFmtId="10" fontId="4" fillId="0" borderId="0" pivotButton="0" quotePrefix="0" xfId="0"/>
    <xf numFmtId="10" fontId="5" fillId="3" borderId="0" pivotButton="0" quotePrefix="0" xfId="0"/>
    <xf numFmtId="166" fontId="5" fillId="0" borderId="0" pivotButton="0" quotePrefix="0" xfId="0"/>
    <xf numFmtId="1" fontId="5" fillId="0" borderId="0" pivotButton="0" quotePrefix="0" xfId="0"/>
    <xf numFmtId="2" fontId="5" fillId="0" borderId="0" pivotButton="0" quotePrefix="0" xfId="0"/>
    <xf numFmtId="0" fontId="9" fillId="0" borderId="0" pivotButton="0" quotePrefix="0" xfId="0"/>
    <xf numFmtId="169" fontId="5" fillId="0" borderId="0" pivotButton="0" quotePrefix="0" xfId="0"/>
    <xf numFmtId="169" fontId="6" fillId="0" borderId="0" pivotButton="0" quotePrefix="0" xfId="0"/>
    <xf numFmtId="170" fontId="4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5C6C2"/>
        </patternFill>
      </fill>
    </dxf>
    <dxf>
      <fill>
        <patternFill patternType="solid">
          <fgColor rgb="00D5EC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D0M3N1C0X/controlli-cedolini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C3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00" customWidth="1" min="3" max="3"/>
  </cols>
  <sheetData>
    <row r="2">
      <c r="B2" s="1" t="inlineStr">
        <is>
          <t>Controlli cedolini</t>
        </is>
      </c>
    </row>
    <row r="3">
      <c r="B3" s="2" t="inlineStr">
        <is>
          <t>Nove controlli sui cedolini del mese, prima dell'invio al cliente: CCNL Terziario Confcommercio</t>
        </is>
      </c>
    </row>
    <row r="5">
      <c r="B5" s="3" t="inlineStr">
        <is>
          <t>Come si usa</t>
        </is>
      </c>
    </row>
    <row r="6">
      <c r="C6" s="4" t="inlineStr">
        <is>
          <t>1. Incolla i cedolini del mese nel foglio Settembre (colonne A-W) e quelli del mese prima nel foglio Agosto.</t>
        </is>
      </c>
    </row>
    <row r="7">
      <c r="C7" s="4" t="inlineStr">
        <is>
          <t>2. Incolla gli importi delle deleghe F24 nel foglio F24 (colonne B ed E).</t>
        </is>
      </c>
    </row>
    <row r="8">
      <c r="C8" s="4" t="inlineStr">
        <is>
          <t>3. Controlla i parametri gialli nel foglio Parametri: l'aliquota INPS va presa dal cliente.</t>
        </is>
      </c>
    </row>
    <row r="9">
      <c r="C9" s="4" t="inlineStr">
        <is>
          <t>4. Leggi il Riepilogo e filtra il foglio Settembre sulla colonna Errori maggiore di zero.</t>
        </is>
      </c>
    </row>
    <row r="11">
      <c r="B11" s="3" t="inlineStr">
        <is>
          <t>I controlli</t>
        </is>
      </c>
    </row>
    <row r="12">
      <c r="B12" s="4" t="inlineStr">
        <is>
          <t>C01 Minimo tabellare</t>
        </is>
      </c>
      <c r="C12" s="4" t="inlineStr">
        <is>
          <t>Paga base + contingenza diversa dal minimo del livello, part-time compreso. Priorità alta.</t>
        </is>
      </c>
    </row>
    <row r="13">
      <c r="B13" s="4" t="inlineStr">
        <is>
          <t>C02 Scatti di anzianità</t>
        </is>
      </c>
      <c r="C13" s="4" t="inlineStr">
        <is>
          <t>Importo degli scatti diverso da quelli maturati dalla data di assunzione. Priorità alta.</t>
        </is>
      </c>
    </row>
    <row r="14">
      <c r="B14" s="4" t="inlineStr">
        <is>
          <t>C03 Contributi INPS</t>
        </is>
      </c>
      <c r="C14" s="4" t="inlineStr">
        <is>
          <t>Contributo a carico del dipendente diverso da imponibile × aliquota. Priorità alta.</t>
        </is>
      </c>
    </row>
    <row r="15">
      <c r="B15" s="4" t="inlineStr">
        <is>
          <t>C04 Quota TFR</t>
        </is>
      </c>
      <c r="C15" s="4" t="inlineStr">
        <is>
          <t>Rateo TFR diverso da retribuzione ordinaria × 14 / 13,5 / 12. Priorità media.</t>
        </is>
      </c>
    </row>
    <row r="16">
      <c r="B16" s="4" t="inlineStr">
        <is>
          <t>C05 Residuo ferie</t>
        </is>
      </c>
      <c r="C16" s="4" t="inlineStr">
        <is>
          <t>Residuo diverso da residuo del mese prima + maturate - godute. Priorità media.</t>
        </is>
      </c>
    </row>
    <row r="17">
      <c r="B17" s="4" t="inlineStr">
        <is>
          <t>C06 Quadratura</t>
        </is>
      </c>
      <c r="C17" s="4" t="inlineStr">
        <is>
          <t>Lordo diverso dalla somma delle voci, o netto diverso da lordo meno trattenute. Priorità alta.</t>
        </is>
      </c>
    </row>
    <row r="18">
      <c r="B18" s="4" t="inlineStr">
        <is>
          <t>C07 Variazione del netto</t>
        </is>
      </c>
      <c r="C18" s="4" t="inlineStr">
        <is>
          <t>Netto oltre il 20% sopra o sotto il mese prima, senza un evento che lo spieghi. Priorità media.</t>
        </is>
      </c>
    </row>
    <row r="19">
      <c r="B19" s="4" t="inlineStr">
        <is>
          <t>C08 Riconciliazione F24</t>
        </is>
      </c>
      <c r="C19" s="4" t="inlineStr">
        <is>
          <t>Ritenute o contributi in F24 diversi dalla somma dei cedolini del cliente. Priorità alta.</t>
        </is>
      </c>
    </row>
    <row r="20">
      <c r="B20" s="4" t="inlineStr">
        <is>
          <t>C09 Codice fiscale</t>
        </is>
      </c>
      <c r="C20" s="4" t="inlineStr">
        <is>
          <t>Carattere di controllo non valido. Priorità alta.</t>
        </is>
      </c>
    </row>
    <row r="22">
      <c r="B22" s="3" t="inlineStr">
        <is>
          <t>Fogli</t>
        </is>
      </c>
    </row>
    <row r="23">
      <c r="B23" s="5" t="inlineStr">
        <is>
          <t>Riepilogo</t>
        </is>
      </c>
      <c r="C23" s="4" t="inlineStr">
        <is>
          <t>Errori per controllo e cliente; costo della tranche di novembre.</t>
        </is>
      </c>
    </row>
    <row r="24">
      <c r="B24" s="5" t="inlineStr">
        <is>
          <t>Settembre</t>
        </is>
      </c>
      <c r="C24" s="4" t="inlineStr">
        <is>
          <t>I cedolini del mese con valori attesi ed esiti, riga per riga.</t>
        </is>
      </c>
    </row>
    <row r="25">
      <c r="B25" s="5" t="inlineStr">
        <is>
          <t>Agosto</t>
        </is>
      </c>
      <c r="C25" s="4" t="inlineStr">
        <is>
          <t>Netto e residuo ferie del mese prima.</t>
        </is>
      </c>
    </row>
    <row r="26">
      <c r="B26" s="5" t="inlineStr">
        <is>
          <t>F24</t>
        </is>
      </c>
      <c r="C26" s="4" t="inlineStr">
        <is>
          <t>Deleghe contro somma dei cedolini, per cliente.</t>
        </is>
      </c>
    </row>
    <row r="27">
      <c r="B27" s="5" t="inlineStr">
        <is>
          <t>Novembre 2026</t>
        </is>
      </c>
      <c r="C27" s="4" t="inlineStr">
        <is>
          <t>Aumento dei minimi dal 1° novembre per dipendente, con l'assorbimento del superminimo.</t>
        </is>
      </c>
    </row>
    <row r="28">
      <c r="B28" s="5" t="inlineStr">
        <is>
          <t>CCNL</t>
        </is>
      </c>
      <c r="C28" s="4" t="inlineStr">
        <is>
          <t>Minimi e scatti del CCNL Terziario.</t>
        </is>
      </c>
    </row>
    <row r="29">
      <c r="B29" s="5" t="inlineStr">
        <is>
          <t>Parametri</t>
        </is>
      </c>
      <c r="C29" s="4" t="inlineStr">
        <is>
          <t>Aliquota, divisore TFR, ferie, soglie.</t>
        </is>
      </c>
    </row>
    <row r="30">
      <c r="B30" s="5" t="inlineStr">
        <is>
          <t>Codice fiscale</t>
        </is>
      </c>
      <c r="C30" s="4" t="inlineStr">
        <is>
          <t>Valori per il carattere di controllo.</t>
        </is>
      </c>
    </row>
    <row r="31">
      <c r="B31" s="5" t="inlineStr">
        <is>
          <t>Riconciliazione</t>
        </is>
      </c>
      <c r="C31" s="4" t="inlineStr">
        <is>
          <t>Ogni formula confrontata con Python.</t>
        </is>
      </c>
    </row>
    <row r="33">
      <c r="B33" s="3" t="inlineStr">
        <is>
          <t>Verifica</t>
        </is>
      </c>
      <c r="C33" s="6">
        <f>Riconciliazione!B3</f>
        <v/>
      </c>
    </row>
    <row r="35" ht="28" customHeight="1">
      <c r="B35" s="3" t="inlineStr">
        <is>
          <t>Dati</t>
        </is>
      </c>
      <c r="C35" s="7" t="inlineStr">
        <is>
          <t>Sintetici: tre clienti e 122 dipendenti inventati, con errori inseriti apposta. I minimi del CCNL sono reali (fonti in docs/fonti.md). IRPEF non calcolata: serve solo a riconciliare l'F24.</t>
        </is>
      </c>
    </row>
    <row r="36" ht="28" customHeight="1">
      <c r="B36" s="3" t="inlineStr">
        <is>
          <t>Limiti</t>
        </is>
      </c>
      <c r="C36" s="7" t="inlineStr">
        <is>
          <t>Non trova un errore coerente: un livello sbagliato in anagrafica dà un cedolino che torna. Non è consulenza del lavoro.</t>
        </is>
      </c>
    </row>
    <row r="38">
      <c r="B38" s="8" t="inlineStr">
        <is>
          <t>Domenico Perroni</t>
        </is>
      </c>
      <c r="C38" s="5" t="inlineStr">
        <is>
          <t>https://github.com/D0M3N1C0X/controlli-cedolini</t>
        </is>
      </c>
    </row>
  </sheetData>
  <hyperlinks>
    <hyperlink ref="B23" location="'Riepilogo'!A1"/>
    <hyperlink ref="B24" location="'Settembre'!A1"/>
    <hyperlink ref="B25" location="'Agosto'!A1"/>
    <hyperlink ref="B26" location="'F24'!A1"/>
    <hyperlink ref="B27" location="'Novembre 2026'!A1"/>
    <hyperlink ref="B28" location="'CCNL'!A1"/>
    <hyperlink ref="B29" location="'Parametri'!A1"/>
    <hyperlink ref="B30" location="'Codice fiscale'!A1"/>
    <hyperlink ref="B31" location="'Riconciliazione'!A1"/>
    <hyperlink xmlns:r="http://schemas.openxmlformats.org/officeDocument/2006/relationships" ref="C38" r:id="rId1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40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9" t="inlineStr">
        <is>
          <t>Riepilogo: settembre 2026</t>
        </is>
      </c>
    </row>
    <row r="2">
      <c r="A2" s="10" t="inlineStr">
        <is>
          <t>Errori per controllo e cliente, e il costo della tranche di novembre.</t>
        </is>
      </c>
    </row>
    <row r="4" ht="32" customHeight="1">
      <c r="A4" s="11" t="inlineStr">
        <is>
          <t>Codice</t>
        </is>
      </c>
      <c r="B4" s="11" t="inlineStr">
        <is>
          <t>Controllo</t>
        </is>
      </c>
      <c r="C4" s="11" t="inlineStr">
        <is>
          <t>Cliente A</t>
        </is>
      </c>
      <c r="D4" s="11" t="inlineStr">
        <is>
          <t>Cliente B</t>
        </is>
      </c>
      <c r="E4" s="11" t="inlineStr">
        <is>
          <t>Cliente C</t>
        </is>
      </c>
      <c r="F4" s="11" t="inlineStr">
        <is>
          <t>Totale</t>
        </is>
      </c>
    </row>
    <row r="5">
      <c r="A5" s="12" t="inlineStr">
        <is>
          <t>C01</t>
        </is>
      </c>
      <c r="B5" s="4" t="inlineStr">
        <is>
          <t>Minimo tabellare</t>
        </is>
      </c>
      <c r="C5" s="4">
        <f>COUNTIFS(Settembre!$B$5:$B$126,"A",Settembre!$AK$5:$AK$126,"ERRORE")</f>
        <v/>
      </c>
      <c r="D5" s="4">
        <f>COUNTIFS(Settembre!$B$5:$B$126,"B",Settembre!$AK$5:$AK$126,"ERRORE")</f>
        <v/>
      </c>
      <c r="E5" s="4">
        <f>COUNTIFS(Settembre!$B$5:$B$126,"C",Settembre!$AK$5:$AK$126,"ERRORE")</f>
        <v/>
      </c>
      <c r="F5" s="12">
        <f>SUM(C5:E5)</f>
        <v/>
      </c>
    </row>
    <row r="6">
      <c r="A6" s="12" t="inlineStr">
        <is>
          <t>C02</t>
        </is>
      </c>
      <c r="B6" s="4" t="inlineStr">
        <is>
          <t>Scatti di anzianità</t>
        </is>
      </c>
      <c r="C6" s="4">
        <f>COUNTIFS(Settembre!$B$5:$B$126,"A",Settembre!$AL$5:$AL$126,"ERRORE")</f>
        <v/>
      </c>
      <c r="D6" s="4">
        <f>COUNTIFS(Settembre!$B$5:$B$126,"B",Settembre!$AL$5:$AL$126,"ERRORE")</f>
        <v/>
      </c>
      <c r="E6" s="4">
        <f>COUNTIFS(Settembre!$B$5:$B$126,"C",Settembre!$AL$5:$AL$126,"ERRORE")</f>
        <v/>
      </c>
      <c r="F6" s="12">
        <f>SUM(C6:E6)</f>
        <v/>
      </c>
    </row>
    <row r="7">
      <c r="A7" s="12" t="inlineStr">
        <is>
          <t>C03</t>
        </is>
      </c>
      <c r="B7" s="4" t="inlineStr">
        <is>
          <t>Contributi INPS</t>
        </is>
      </c>
      <c r="C7" s="4">
        <f>COUNTIFS(Settembre!$B$5:$B$126,"A",Settembre!$AM$5:$AM$126,"ERRORE")</f>
        <v/>
      </c>
      <c r="D7" s="4">
        <f>COUNTIFS(Settembre!$B$5:$B$126,"B",Settembre!$AM$5:$AM$126,"ERRORE")</f>
        <v/>
      </c>
      <c r="E7" s="4">
        <f>COUNTIFS(Settembre!$B$5:$B$126,"C",Settembre!$AM$5:$AM$126,"ERRORE")</f>
        <v/>
      </c>
      <c r="F7" s="12">
        <f>SUM(C7:E7)</f>
        <v/>
      </c>
    </row>
    <row r="8">
      <c r="A8" s="12" t="inlineStr">
        <is>
          <t>C04</t>
        </is>
      </c>
      <c r="B8" s="4" t="inlineStr">
        <is>
          <t>Quota TFR</t>
        </is>
      </c>
      <c r="C8" s="4">
        <f>COUNTIFS(Settembre!$B$5:$B$126,"A",Settembre!$AN$5:$AN$126,"ERRORE")</f>
        <v/>
      </c>
      <c r="D8" s="4">
        <f>COUNTIFS(Settembre!$B$5:$B$126,"B",Settembre!$AN$5:$AN$126,"ERRORE")</f>
        <v/>
      </c>
      <c r="E8" s="4">
        <f>COUNTIFS(Settembre!$B$5:$B$126,"C",Settembre!$AN$5:$AN$126,"ERRORE")</f>
        <v/>
      </c>
      <c r="F8" s="12">
        <f>SUM(C8:E8)</f>
        <v/>
      </c>
    </row>
    <row r="9">
      <c r="A9" s="12" t="inlineStr">
        <is>
          <t>C05</t>
        </is>
      </c>
      <c r="B9" s="4" t="inlineStr">
        <is>
          <t>Residuo ferie</t>
        </is>
      </c>
      <c r="C9" s="4">
        <f>COUNTIFS(Settembre!$B$5:$B$126,"A",Settembre!$AO$5:$AO$126,"ERRORE")</f>
        <v/>
      </c>
      <c r="D9" s="4">
        <f>COUNTIFS(Settembre!$B$5:$B$126,"B",Settembre!$AO$5:$AO$126,"ERRORE")</f>
        <v/>
      </c>
      <c r="E9" s="4">
        <f>COUNTIFS(Settembre!$B$5:$B$126,"C",Settembre!$AO$5:$AO$126,"ERRORE")</f>
        <v/>
      </c>
      <c r="F9" s="12">
        <f>SUM(C9:E9)</f>
        <v/>
      </c>
    </row>
    <row r="10">
      <c r="A10" s="12" t="inlineStr">
        <is>
          <t>C06</t>
        </is>
      </c>
      <c r="B10" s="4" t="inlineStr">
        <is>
          <t>Quadratura</t>
        </is>
      </c>
      <c r="C10" s="4">
        <f>COUNTIFS(Settembre!$B$5:$B$126,"A",Settembre!$AP$5:$AP$126,"ERRORE")</f>
        <v/>
      </c>
      <c r="D10" s="4">
        <f>COUNTIFS(Settembre!$B$5:$B$126,"B",Settembre!$AP$5:$AP$126,"ERRORE")</f>
        <v/>
      </c>
      <c r="E10" s="4">
        <f>COUNTIFS(Settembre!$B$5:$B$126,"C",Settembre!$AP$5:$AP$126,"ERRORE")</f>
        <v/>
      </c>
      <c r="F10" s="12">
        <f>SUM(C10:E10)</f>
        <v/>
      </c>
    </row>
    <row r="11">
      <c r="A11" s="12" t="inlineStr">
        <is>
          <t>C07</t>
        </is>
      </c>
      <c r="B11" s="4" t="inlineStr">
        <is>
          <t>Variazione del netto</t>
        </is>
      </c>
      <c r="C11" s="4">
        <f>COUNTIFS(Settembre!$B$5:$B$126,"A",Settembre!$AQ$5:$AQ$126,"ERRORE")</f>
        <v/>
      </c>
      <c r="D11" s="4">
        <f>COUNTIFS(Settembre!$B$5:$B$126,"B",Settembre!$AQ$5:$AQ$126,"ERRORE")</f>
        <v/>
      </c>
      <c r="E11" s="4">
        <f>COUNTIFS(Settembre!$B$5:$B$126,"C",Settembre!$AQ$5:$AQ$126,"ERRORE")</f>
        <v/>
      </c>
      <c r="F11" s="12">
        <f>SUM(C11:E11)</f>
        <v/>
      </c>
    </row>
    <row r="12">
      <c r="A12" s="12" t="inlineStr">
        <is>
          <t>C08</t>
        </is>
      </c>
      <c r="B12" s="4" t="inlineStr">
        <is>
          <t>Riconciliazione F24</t>
        </is>
      </c>
      <c r="C12" s="4">
        <f>COUNTIFS(F24!$A$5:$A$7,"A",F24!$H$5:$H$7,"ERRORE")</f>
        <v/>
      </c>
      <c r="D12" s="4">
        <f>COUNTIFS(F24!$A$5:$A$7,"B",F24!$H$5:$H$7,"ERRORE")</f>
        <v/>
      </c>
      <c r="E12" s="4">
        <f>COUNTIFS(F24!$A$5:$A$7,"C",F24!$H$5:$H$7,"ERRORE")</f>
        <v/>
      </c>
      <c r="F12" s="12">
        <f>SUM(C12:E12)</f>
        <v/>
      </c>
    </row>
    <row r="13">
      <c r="A13" s="12" t="inlineStr">
        <is>
          <t>C09</t>
        </is>
      </c>
      <c r="B13" s="4" t="inlineStr">
        <is>
          <t>Codice fiscale</t>
        </is>
      </c>
      <c r="C13" s="4">
        <f>COUNTIFS(Settembre!$B$5:$B$126,"A",Settembre!$AR$5:$AR$126,"ERRORE")</f>
        <v/>
      </c>
      <c r="D13" s="4">
        <f>COUNTIFS(Settembre!$B$5:$B$126,"B",Settembre!$AR$5:$AR$126,"ERRORE")</f>
        <v/>
      </c>
      <c r="E13" s="4">
        <f>COUNTIFS(Settembre!$B$5:$B$126,"C",Settembre!$AR$5:$AR$126,"ERRORE")</f>
        <v/>
      </c>
      <c r="F13" s="12">
        <f>SUM(C13:E13)</f>
        <v/>
      </c>
    </row>
    <row r="14">
      <c r="B14" s="12" t="inlineStr">
        <is>
          <t>Segnalazioni</t>
        </is>
      </c>
      <c r="C14" s="12">
        <f>SUM(C5:C13)</f>
        <v/>
      </c>
      <c r="D14" s="12">
        <f>SUM(D5:D13)</f>
        <v/>
      </c>
      <c r="E14" s="12">
        <f>SUM(E5:E13)</f>
        <v/>
      </c>
      <c r="F14" s="12">
        <f>SUM(F5:F13)</f>
        <v/>
      </c>
    </row>
    <row r="17">
      <c r="A17" s="3" t="inlineStr">
        <is>
          <t>Tranche del 1° novembre 2026, al mese</t>
        </is>
      </c>
    </row>
    <row r="18" ht="20" customHeight="1">
      <c r="A18" s="11" t="inlineStr"/>
      <c r="B18" s="11" t="inlineStr">
        <is>
          <t>Voce</t>
        </is>
      </c>
      <c r="C18" s="11" t="inlineStr">
        <is>
          <t>Cliente A</t>
        </is>
      </c>
      <c r="D18" s="11" t="inlineStr">
        <is>
          <t>Cliente B</t>
        </is>
      </c>
      <c r="E18" s="11" t="inlineStr">
        <is>
          <t>Cliente C</t>
        </is>
      </c>
      <c r="F18" s="11" t="inlineStr">
        <is>
          <t>Totale</t>
        </is>
      </c>
    </row>
    <row r="19">
      <c r="B19" s="4" t="inlineStr">
        <is>
          <t>Aumento dei minimi</t>
        </is>
      </c>
      <c r="C19" s="13">
        <f>SUMIFS('Novembre 2026'!$G$5:$G$126,'Novembre 2026'!$B$5:$B$126,"A")</f>
        <v/>
      </c>
      <c r="D19" s="13">
        <f>SUMIFS('Novembre 2026'!$G$5:$G$126,'Novembre 2026'!$B$5:$B$126,"B")</f>
        <v/>
      </c>
      <c r="E19" s="13">
        <f>SUMIFS('Novembre 2026'!$G$5:$G$126,'Novembre 2026'!$B$5:$B$126,"C")</f>
        <v/>
      </c>
      <c r="F19" s="14">
        <f>SUM(C19:E19)</f>
        <v/>
      </c>
    </row>
    <row r="20">
      <c r="B20" s="4" t="inlineStr">
        <is>
          <t>Assorbito dai superminimi</t>
        </is>
      </c>
      <c r="C20" s="13">
        <f>SUMIFS('Novembre 2026'!$H$5:$H$126,'Novembre 2026'!$B$5:$B$126,"A")</f>
        <v/>
      </c>
      <c r="D20" s="13">
        <f>SUMIFS('Novembre 2026'!$H$5:$H$126,'Novembre 2026'!$B$5:$B$126,"B")</f>
        <v/>
      </c>
      <c r="E20" s="13">
        <f>SUMIFS('Novembre 2026'!$H$5:$H$126,'Novembre 2026'!$B$5:$B$126,"C")</f>
        <v/>
      </c>
      <c r="F20" s="14">
        <f>SUM(C20:E20)</f>
        <v/>
      </c>
    </row>
    <row r="21">
      <c r="B21" s="12" t="inlineStr">
        <is>
          <t>Da pagare in più ogni mese</t>
        </is>
      </c>
      <c r="C21" s="14">
        <f>SUMIFS('Novembre 2026'!$I$5:$I$126,'Novembre 2026'!$B$5:$B$126,"A")</f>
        <v/>
      </c>
      <c r="D21" s="14">
        <f>SUMIFS('Novembre 2026'!$I$5:$I$126,'Novembre 2026'!$B$5:$B$126,"B")</f>
        <v/>
      </c>
      <c r="E21" s="14">
        <f>SUMIFS('Novembre 2026'!$I$5:$I$126,'Novembre 2026'!$B$5:$B$126,"C")</f>
        <v/>
      </c>
      <c r="F21" s="14">
        <f>SUM(C21:E21)</f>
        <v/>
      </c>
    </row>
    <row r="22">
      <c r="B22" s="12" t="inlineStr">
        <is>
          <t>Costo annuo lordo (14 mensilità)</t>
        </is>
      </c>
      <c r="C22" s="14">
        <f>C21*Parametri!$C$8</f>
        <v/>
      </c>
      <c r="D22" s="14">
        <f>D21*Parametri!$C$8</f>
        <v/>
      </c>
      <c r="E22" s="14">
        <f>E21*Parametri!$C$8</f>
        <v/>
      </c>
      <c r="F22" s="14">
        <f>F21*Parametri!$C$8</f>
        <v/>
      </c>
    </row>
    <row r="23">
      <c r="B23" s="10" t="inlineStr">
        <is>
          <t>Lordo dipendente, senza contributi a carico dell'azienda.</t>
        </is>
      </c>
    </row>
  </sheetData>
  <conditionalFormatting sqref="C5:C13">
    <cfRule type="cellIs" priority="1" operator="greaterThan" dxfId="0">
      <formula>0</formula>
    </cfRule>
  </conditionalFormatting>
  <conditionalFormatting sqref="D5:D13">
    <cfRule type="cellIs" priority="2" operator="greaterThan" dxfId="0">
      <formula>0</formula>
    </cfRule>
  </conditionalFormatting>
  <conditionalFormatting sqref="E5:E13">
    <cfRule type="cellIs" priority="3" operator="greaterThan" dxfId="0">
      <formula>0</formula>
    </cfRule>
  </conditionalFormatting>
  <conditionalFormatting sqref="F5:F13">
    <cfRule type="cellIs" priority="4" operator="greaterThan" dxfId="0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S126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9" customWidth="1" min="3" max="3"/>
    <col width="11" customWidth="1" min="4" max="4"/>
    <col width="11" customWidth="1" min="5" max="5"/>
    <col width="11" customWidth="1" min="6" max="6"/>
    <col width="14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</cols>
  <sheetData>
    <row r="1">
      <c r="A1" s="9" t="inlineStr">
        <is>
          <t>Settembre 2026: cedolini e controlli</t>
        </is>
      </c>
    </row>
    <row r="2">
      <c r="A2" s="10" t="inlineStr">
        <is>
          <t>Colonne A-W: i dati del software paghe (blu). Colonne X-AQ: valori attesi ed esiti, in formula.</t>
        </is>
      </c>
    </row>
    <row r="4" ht="44" customHeight="1">
      <c r="A4" s="11" t="inlineStr">
        <is>
          <t>Matricola</t>
        </is>
      </c>
      <c r="B4" s="11" t="inlineStr">
        <is>
          <t>Cliente</t>
        </is>
      </c>
      <c r="C4" s="11" t="inlineStr">
        <is>
          <t>Codice fiscale</t>
        </is>
      </c>
      <c r="D4" s="11" t="inlineStr">
        <is>
          <t>Livello</t>
        </is>
      </c>
      <c r="E4" s="11" t="inlineStr">
        <is>
          <t>Data assunzione</t>
        </is>
      </c>
      <c r="F4" s="11" t="inlineStr">
        <is>
          <t>Part time</t>
        </is>
      </c>
      <c r="G4" s="11" t="inlineStr">
        <is>
          <t>Evento</t>
        </is>
      </c>
      <c r="H4" s="11" t="inlineStr">
        <is>
          <t>Superminimo assorbibile</t>
        </is>
      </c>
      <c r="I4" s="11" t="inlineStr">
        <is>
          <t>Tabellare</t>
        </is>
      </c>
      <c r="J4" s="11" t="inlineStr">
        <is>
          <t>Scatti n</t>
        </is>
      </c>
      <c r="K4" s="11" t="inlineStr">
        <is>
          <t>Scatti</t>
        </is>
      </c>
      <c r="L4" s="11" t="inlineStr">
        <is>
          <t>Superminimo</t>
        </is>
      </c>
      <c r="M4" s="11" t="inlineStr">
        <is>
          <t>Straordinari</t>
        </is>
      </c>
      <c r="N4" s="11" t="inlineStr">
        <is>
          <t>Lordo</t>
        </is>
      </c>
      <c r="O4" s="11" t="inlineStr">
        <is>
          <t>Contributi inps</t>
        </is>
      </c>
      <c r="P4" s="11" t="inlineStr">
        <is>
          <t>Imponibile irpef</t>
        </is>
      </c>
      <c r="Q4" s="11" t="inlineStr">
        <is>
          <t>Irpef</t>
        </is>
      </c>
      <c r="R4" s="11" t="inlineStr">
        <is>
          <t>Altre trattenute</t>
        </is>
      </c>
      <c r="S4" s="11" t="inlineStr">
        <is>
          <t>Netto</t>
        </is>
      </c>
      <c r="T4" s="11" t="inlineStr">
        <is>
          <t>Quota tfr</t>
        </is>
      </c>
      <c r="U4" s="11" t="inlineStr">
        <is>
          <t>Ferie maturate</t>
        </is>
      </c>
      <c r="V4" s="11" t="inlineStr">
        <is>
          <t>Ferie godute</t>
        </is>
      </c>
      <c r="W4" s="11" t="inlineStr">
        <is>
          <t>Ferie residuo</t>
        </is>
      </c>
      <c r="X4" s="11" t="inlineStr">
        <is>
          <t>Tabellare atteso</t>
        </is>
      </c>
      <c r="Y4" s="11" t="inlineStr">
        <is>
          <t>Mesi di servizio</t>
        </is>
      </c>
      <c r="Z4" s="11" t="inlineStr">
        <is>
          <t>Scatti attesi</t>
        </is>
      </c>
      <c r="AA4" s="11" t="inlineStr">
        <is>
          <t>Importo scatti atteso</t>
        </is>
      </c>
      <c r="AB4" s="11" t="inlineStr">
        <is>
          <t>Contributi attesi</t>
        </is>
      </c>
      <c r="AC4" s="11" t="inlineStr">
        <is>
          <t>TFR atteso</t>
        </is>
      </c>
      <c r="AD4" s="11" t="inlineStr">
        <is>
          <t>Residuo agosto</t>
        </is>
      </c>
      <c r="AE4" s="11" t="inlineStr">
        <is>
          <t>Residuo atteso</t>
        </is>
      </c>
      <c r="AF4" s="11" t="inlineStr">
        <is>
          <t>Lordo atteso</t>
        </is>
      </c>
      <c r="AG4" s="11" t="inlineStr">
        <is>
          <t>Netto atteso</t>
        </is>
      </c>
      <c r="AH4" s="11" t="inlineStr">
        <is>
          <t>Netto agosto</t>
        </is>
      </c>
      <c r="AI4" s="11" t="inlineStr">
        <is>
          <t>Variazione</t>
        </is>
      </c>
      <c r="AJ4" s="11" t="inlineStr">
        <is>
          <t>Controllo CF</t>
        </is>
      </c>
      <c r="AK4" s="11" t="inlineStr">
        <is>
          <t>C01 Minimo</t>
        </is>
      </c>
      <c r="AL4" s="11" t="inlineStr">
        <is>
          <t>C02 Scatti</t>
        </is>
      </c>
      <c r="AM4" s="11" t="inlineStr">
        <is>
          <t>C03 INPS</t>
        </is>
      </c>
      <c r="AN4" s="11" t="inlineStr">
        <is>
          <t>C04 TFR</t>
        </is>
      </c>
      <c r="AO4" s="11" t="inlineStr">
        <is>
          <t>C05 Ferie</t>
        </is>
      </c>
      <c r="AP4" s="11" t="inlineStr">
        <is>
          <t>C06 Quadratura</t>
        </is>
      </c>
      <c r="AQ4" s="11" t="inlineStr">
        <is>
          <t>C07 Variazione</t>
        </is>
      </c>
      <c r="AR4" s="11" t="inlineStr">
        <is>
          <t>C09 Cod. fiscale</t>
        </is>
      </c>
      <c r="AS4" s="11" t="inlineStr">
        <is>
          <t>Errori</t>
        </is>
      </c>
    </row>
    <row r="5">
      <c r="A5" s="15" t="inlineStr">
        <is>
          <t>A001</t>
        </is>
      </c>
      <c r="B5" s="15" t="inlineStr">
        <is>
          <t>A</t>
        </is>
      </c>
      <c r="C5" s="15" t="inlineStr">
        <is>
          <t>VRPZTV94P61Z351F</t>
        </is>
      </c>
      <c r="D5" s="15" t="inlineStr">
        <is>
          <t>6</t>
        </is>
      </c>
      <c r="E5" s="16" t="n">
        <v>46061</v>
      </c>
      <c r="F5" s="17" t="n">
        <v>1</v>
      </c>
      <c r="G5" s="15" t="inlineStr"/>
      <c r="H5" s="15" t="b">
        <v>0</v>
      </c>
      <c r="I5" s="17" t="n">
        <v>1539.7</v>
      </c>
      <c r="J5" s="15" t="n">
        <v>0</v>
      </c>
      <c r="K5" s="17" t="n">
        <v>0</v>
      </c>
      <c r="L5" s="17" t="n">
        <v>150</v>
      </c>
      <c r="M5" s="17" t="n">
        <v>0</v>
      </c>
      <c r="N5" s="17" t="n">
        <v>1689.7</v>
      </c>
      <c r="O5" s="17" t="n">
        <v>155.28</v>
      </c>
      <c r="P5" s="17" t="n">
        <v>1534.42</v>
      </c>
      <c r="Q5" s="17" t="n">
        <v>201.38</v>
      </c>
      <c r="R5" s="17" t="n">
        <v>23.02</v>
      </c>
      <c r="S5" s="17" t="n">
        <v>1347.52</v>
      </c>
      <c r="T5" s="17" t="n">
        <v>146.02</v>
      </c>
      <c r="U5" s="18" t="n">
        <v>2.1667</v>
      </c>
      <c r="V5" s="18" t="n">
        <v>0</v>
      </c>
      <c r="W5" s="18" t="n">
        <v>8.8527</v>
      </c>
      <c r="X5" s="19">
        <f>ROUND(INDEX(CCNL!$F$5:$F$12,MATCH(D5,CCNL!$A$5:$A$12,0))*F5,2)</f>
        <v/>
      </c>
      <c r="Y5" s="4">
        <f>(YEAR(Parametri!$C$5)*12+MONTH(Parametri!$C$5))-(YEAR(E5)*12+MONTH(E5))</f>
        <v/>
      </c>
      <c r="Z5" s="4">
        <f>MIN(Parametri!$C$13,MAX(0,INT((Y5-1)/36)))</f>
        <v/>
      </c>
      <c r="AA5" s="19">
        <f>ROUND(INDEX(CCNL!$I$5:$I$12,MATCH(D5,CCNL!$A$5:$A$12,0))*Z5*F5,2)</f>
        <v/>
      </c>
      <c r="AB5" s="19">
        <f>ROUND(N5*Parametri!$C$6,2)</f>
        <v/>
      </c>
      <c r="AC5" s="19">
        <f>ROUND((I5+K5+L5)*Parametri!$C$8/Parametri!$C$7/12,2)</f>
        <v/>
      </c>
      <c r="AD5" s="20">
        <f>IFERROR(INDEX(Agosto!$D$5:$D$173,MATCH(A5,Agosto!$A$5:$A$173,0)),0)</f>
        <v/>
      </c>
      <c r="AE5" s="21">
        <f>ROUND(AD5+ROUND(Parametri!$C$9/12,4)-V5,4)</f>
        <v/>
      </c>
      <c r="AF5" s="19">
        <f>ROUND(I5+K5+L5+M5,2)</f>
        <v/>
      </c>
      <c r="AG5" s="19">
        <f>ROUND(N5-O5-Q5-R5,2)</f>
        <v/>
      </c>
      <c r="AH5" s="22">
        <f>IFERROR(INDEX(Agosto!$C$5:$C$173,MATCH(A5,Agosto!$A$5:$A$173,0)),"")</f>
        <v/>
      </c>
      <c r="AI5" s="23">
        <f>IF(AH5="","",S5/AH5-1)</f>
        <v/>
      </c>
      <c r="AJ5" s="4">
        <f>CHAR(65+MOD(SUMPRODUCT(SUMIF('Codice fiscale'!$A$5:$A$40,MID(C5,{1,3,5,7,9,11,13,15},1),'Codice fiscale'!$B$5:$B$40))+SUMPRODUCT(SUMIF('Codice fiscale'!$A$5:$A$40,MID(C5,{2,4,6,8,10,12,14},1),'Codice fiscale'!$C$5:$C$40)),26))</f>
        <v/>
      </c>
      <c r="AK5" s="4">
        <f>IF(ABS(I5-X5)&gt;Parametri!$C$11,"ERRORE","OK")</f>
        <v/>
      </c>
      <c r="AL5" s="4">
        <f>IF(ABS(K5-AA5)&gt;Parametri!$C$11,"ERRORE","OK")</f>
        <v/>
      </c>
      <c r="AM5" s="4">
        <f>IF(ABS(O5-AB5)&gt;Parametri!$C$11,"ERRORE","OK")</f>
        <v/>
      </c>
      <c r="AN5" s="4">
        <f>IF(ABS(T5-AC5)&gt;Parametri!$C$11,"ERRORE","OK")</f>
        <v/>
      </c>
      <c r="AO5" s="4">
        <f>IF(ABS(W5-AE5)&gt;Parametri!$C$12,"ERRORE","OK")</f>
        <v/>
      </c>
      <c r="AP5" s="4">
        <f>IF(OR(ABS(N5-AF5)&gt;Parametri!$C$11,ABS(S5-AG5)&gt;Parametri!$C$11),"ERRORE","OK")</f>
        <v/>
      </c>
      <c r="AQ5" s="4">
        <f>IF(AI5="","OK",IF(AND(ABS(AI5)&gt;Parametri!$C$10,G5=""),"ERRORE","OK"))</f>
        <v/>
      </c>
      <c r="AR5" s="4">
        <f>IF(AND(LEN(C5)=16,RIGHT(C5,1)=AJ5),"OK","ERRORE")</f>
        <v/>
      </c>
      <c r="AS5" s="12">
        <f>COUNTIF(AK5:AR5,"ERRORE")</f>
        <v/>
      </c>
    </row>
    <row r="6">
      <c r="A6" s="15" t="inlineStr">
        <is>
          <t>A002</t>
        </is>
      </c>
      <c r="B6" s="15" t="inlineStr">
        <is>
          <t>A</t>
        </is>
      </c>
      <c r="C6" s="15" t="inlineStr">
        <is>
          <t>SLFMGL77A20Z282P</t>
        </is>
      </c>
      <c r="D6" s="15" t="inlineStr">
        <is>
          <t>5</t>
        </is>
      </c>
      <c r="E6" s="16" t="n">
        <v>35836</v>
      </c>
      <c r="F6" s="17" t="n">
        <v>1</v>
      </c>
      <c r="G6" s="15" t="inlineStr"/>
      <c r="H6" s="15" t="b">
        <v>0</v>
      </c>
      <c r="I6" s="17" t="n">
        <v>1658.01</v>
      </c>
      <c r="J6" s="15" t="n">
        <v>9</v>
      </c>
      <c r="K6" s="17" t="n">
        <v>182.7</v>
      </c>
      <c r="L6" s="17" t="n">
        <v>200</v>
      </c>
      <c r="M6" s="17" t="n">
        <v>0</v>
      </c>
      <c r="N6" s="17" t="n">
        <v>2040.71</v>
      </c>
      <c r="O6" s="17" t="n">
        <v>187.54</v>
      </c>
      <c r="P6" s="17" t="n">
        <v>1853.17</v>
      </c>
      <c r="Q6" s="17" t="n">
        <v>287.44</v>
      </c>
      <c r="R6" s="17" t="n">
        <v>27.8</v>
      </c>
      <c r="S6" s="17" t="n">
        <v>1537.93</v>
      </c>
      <c r="T6" s="17" t="n">
        <v>176.36</v>
      </c>
      <c r="U6" s="18" t="n">
        <v>2.1667</v>
      </c>
      <c r="V6" s="18" t="n">
        <v>1</v>
      </c>
      <c r="W6" s="18" t="n">
        <v>3.9698</v>
      </c>
      <c r="X6" s="19">
        <f>ROUND(INDEX(CCNL!$F$5:$F$12,MATCH(D6,CCNL!$A$5:$A$12,0))*F6,2)</f>
        <v/>
      </c>
      <c r="Y6" s="4">
        <f>(YEAR(Parametri!$C$5)*12+MONTH(Parametri!$C$5))-(YEAR(E6)*12+MONTH(E6))</f>
        <v/>
      </c>
      <c r="Z6" s="4">
        <f>MIN(Parametri!$C$13,MAX(0,INT((Y6-1)/36)))</f>
        <v/>
      </c>
      <c r="AA6" s="19">
        <f>ROUND(INDEX(CCNL!$I$5:$I$12,MATCH(D6,CCNL!$A$5:$A$12,0))*Z6*F6,2)</f>
        <v/>
      </c>
      <c r="AB6" s="19">
        <f>ROUND(N6*Parametri!$C$6,2)</f>
        <v/>
      </c>
      <c r="AC6" s="19">
        <f>ROUND((I6+K6+L6)*Parametri!$C$8/Parametri!$C$7/12,2)</f>
        <v/>
      </c>
      <c r="AD6" s="20">
        <f>IFERROR(INDEX(Agosto!$D$5:$D$173,MATCH(A6,Agosto!$A$5:$A$173,0)),0)</f>
        <v/>
      </c>
      <c r="AE6" s="21">
        <f>ROUND(AD6+ROUND(Parametri!$C$9/12,4)-V6,4)</f>
        <v/>
      </c>
      <c r="AF6" s="19">
        <f>ROUND(I6+K6+L6+M6,2)</f>
        <v/>
      </c>
      <c r="AG6" s="19">
        <f>ROUND(N6-O6-Q6-R6,2)</f>
        <v/>
      </c>
      <c r="AH6" s="22">
        <f>IFERROR(INDEX(Agosto!$C$5:$C$173,MATCH(A6,Agosto!$A$5:$A$173,0)),"")</f>
        <v/>
      </c>
      <c r="AI6" s="23">
        <f>IF(AH6="","",S6/AH6-1)</f>
        <v/>
      </c>
      <c r="AJ6" s="4">
        <f>CHAR(65+MOD(SUMPRODUCT(SUMIF('Codice fiscale'!$A$5:$A$40,MID(C6,{1,3,5,7,9,11,13,15},1),'Codice fiscale'!$B$5:$B$40))+SUMPRODUCT(SUMIF('Codice fiscale'!$A$5:$A$40,MID(C6,{2,4,6,8,10,12,14},1),'Codice fiscale'!$C$5:$C$40)),26))</f>
        <v/>
      </c>
      <c r="AK6" s="4">
        <f>IF(ABS(I6-X6)&gt;Parametri!$C$11,"ERRORE","OK")</f>
        <v/>
      </c>
      <c r="AL6" s="4">
        <f>IF(ABS(K6-AA6)&gt;Parametri!$C$11,"ERRORE","OK")</f>
        <v/>
      </c>
      <c r="AM6" s="4">
        <f>IF(ABS(O6-AB6)&gt;Parametri!$C$11,"ERRORE","OK")</f>
        <v/>
      </c>
      <c r="AN6" s="4">
        <f>IF(ABS(T6-AC6)&gt;Parametri!$C$11,"ERRORE","OK")</f>
        <v/>
      </c>
      <c r="AO6" s="4">
        <f>IF(ABS(W6-AE6)&gt;Parametri!$C$12,"ERRORE","OK")</f>
        <v/>
      </c>
      <c r="AP6" s="4">
        <f>IF(OR(ABS(N6-AF6)&gt;Parametri!$C$11,ABS(S6-AG6)&gt;Parametri!$C$11),"ERRORE","OK")</f>
        <v/>
      </c>
      <c r="AQ6" s="4">
        <f>IF(AI6="","OK",IF(AND(ABS(AI6)&gt;Parametri!$C$10,G6=""),"ERRORE","OK"))</f>
        <v/>
      </c>
      <c r="AR6" s="4">
        <f>IF(AND(LEN(C6)=16,RIGHT(C6,1)=AJ6),"OK","ERRORE")</f>
        <v/>
      </c>
      <c r="AS6" s="12">
        <f>COUNTIF(AK6:AR6,"ERRORE")</f>
        <v/>
      </c>
    </row>
    <row r="7">
      <c r="A7" s="15" t="inlineStr">
        <is>
          <t>A003</t>
        </is>
      </c>
      <c r="B7" s="15" t="inlineStr">
        <is>
          <t>A</t>
        </is>
      </c>
      <c r="C7" s="15" t="inlineStr">
        <is>
          <t>DSTTRG94S03Z112R</t>
        </is>
      </c>
      <c r="D7" s="15" t="inlineStr">
        <is>
          <t>4</t>
        </is>
      </c>
      <c r="E7" s="16" t="n">
        <v>45446</v>
      </c>
      <c r="F7" s="17" t="n">
        <v>1</v>
      </c>
      <c r="G7" s="15" t="inlineStr"/>
      <c r="H7" s="15" t="b">
        <v>0</v>
      </c>
      <c r="I7" s="17" t="n">
        <v>1781.68</v>
      </c>
      <c r="J7" s="15" t="n">
        <v>0</v>
      </c>
      <c r="K7" s="17" t="n">
        <v>0</v>
      </c>
      <c r="L7" s="17" t="n">
        <v>200</v>
      </c>
      <c r="M7" s="17" t="n">
        <v>0</v>
      </c>
      <c r="N7" s="17" t="n">
        <v>1981.68</v>
      </c>
      <c r="O7" s="17" t="n">
        <v>188.06</v>
      </c>
      <c r="P7" s="17" t="n">
        <v>1793.62</v>
      </c>
      <c r="Q7" s="17" t="n">
        <v>271.36</v>
      </c>
      <c r="R7" s="17" t="n">
        <v>26.9</v>
      </c>
      <c r="S7" s="17" t="n">
        <v>1495.36</v>
      </c>
      <c r="T7" s="17" t="n">
        <v>171.26</v>
      </c>
      <c r="U7" s="18" t="n">
        <v>2.1667</v>
      </c>
      <c r="V7" s="18" t="n">
        <v>0</v>
      </c>
      <c r="W7" s="18" t="n">
        <v>33.9867</v>
      </c>
      <c r="X7" s="19">
        <f>ROUND(INDEX(CCNL!$F$5:$F$12,MATCH(D7,CCNL!$A$5:$A$12,0))*F7,2)</f>
        <v/>
      </c>
      <c r="Y7" s="4">
        <f>(YEAR(Parametri!$C$5)*12+MONTH(Parametri!$C$5))-(YEAR(E7)*12+MONTH(E7))</f>
        <v/>
      </c>
      <c r="Z7" s="4">
        <f>MIN(Parametri!$C$13,MAX(0,INT((Y7-1)/36)))</f>
        <v/>
      </c>
      <c r="AA7" s="19">
        <f>ROUND(INDEX(CCNL!$I$5:$I$12,MATCH(D7,CCNL!$A$5:$A$12,0))*Z7*F7,2)</f>
        <v/>
      </c>
      <c r="AB7" s="19">
        <f>ROUND(N7*Parametri!$C$6,2)</f>
        <v/>
      </c>
      <c r="AC7" s="19">
        <f>ROUND((I7+K7+L7)*Parametri!$C$8/Parametri!$C$7/12,2)</f>
        <v/>
      </c>
      <c r="AD7" s="20">
        <f>IFERROR(INDEX(Agosto!$D$5:$D$173,MATCH(A7,Agosto!$A$5:$A$173,0)),0)</f>
        <v/>
      </c>
      <c r="AE7" s="21">
        <f>ROUND(AD7+ROUND(Parametri!$C$9/12,4)-V7,4)</f>
        <v/>
      </c>
      <c r="AF7" s="19">
        <f>ROUND(I7+K7+L7+M7,2)</f>
        <v/>
      </c>
      <c r="AG7" s="19">
        <f>ROUND(N7-O7-Q7-R7,2)</f>
        <v/>
      </c>
      <c r="AH7" s="22">
        <f>IFERROR(INDEX(Agosto!$C$5:$C$173,MATCH(A7,Agosto!$A$5:$A$173,0)),"")</f>
        <v/>
      </c>
      <c r="AI7" s="23">
        <f>IF(AH7="","",S7/AH7-1)</f>
        <v/>
      </c>
      <c r="AJ7" s="4">
        <f>CHAR(65+MOD(SUMPRODUCT(SUMIF('Codice fiscale'!$A$5:$A$40,MID(C7,{1,3,5,7,9,11,13,15},1),'Codice fiscale'!$B$5:$B$40))+SUMPRODUCT(SUMIF('Codice fiscale'!$A$5:$A$40,MID(C7,{2,4,6,8,10,12,14},1),'Codice fiscale'!$C$5:$C$40)),26))</f>
        <v/>
      </c>
      <c r="AK7" s="4">
        <f>IF(ABS(I7-X7)&gt;Parametri!$C$11,"ERRORE","OK")</f>
        <v/>
      </c>
      <c r="AL7" s="4">
        <f>IF(ABS(K7-AA7)&gt;Parametri!$C$11,"ERRORE","OK")</f>
        <v/>
      </c>
      <c r="AM7" s="4">
        <f>IF(ABS(O7-AB7)&gt;Parametri!$C$11,"ERRORE","OK")</f>
        <v/>
      </c>
      <c r="AN7" s="4">
        <f>IF(ABS(T7-AC7)&gt;Parametri!$C$11,"ERRORE","OK")</f>
        <v/>
      </c>
      <c r="AO7" s="4">
        <f>IF(ABS(W7-AE7)&gt;Parametri!$C$12,"ERRORE","OK")</f>
        <v/>
      </c>
      <c r="AP7" s="4">
        <f>IF(OR(ABS(N7-AF7)&gt;Parametri!$C$11,ABS(S7-AG7)&gt;Parametri!$C$11),"ERRORE","OK")</f>
        <v/>
      </c>
      <c r="AQ7" s="4">
        <f>IF(AI7="","OK",IF(AND(ABS(AI7)&gt;Parametri!$C$10,G7=""),"ERRORE","OK"))</f>
        <v/>
      </c>
      <c r="AR7" s="4">
        <f>IF(AND(LEN(C7)=16,RIGHT(C7,1)=AJ7),"OK","ERRORE")</f>
        <v/>
      </c>
      <c r="AS7" s="12">
        <f>COUNTIF(AK7:AR7,"ERRORE")</f>
        <v/>
      </c>
    </row>
    <row r="8">
      <c r="A8" s="15" t="inlineStr">
        <is>
          <t>A004</t>
        </is>
      </c>
      <c r="B8" s="15" t="inlineStr">
        <is>
          <t>A</t>
        </is>
      </c>
      <c r="C8" s="15" t="inlineStr">
        <is>
          <t>VVZRNM91L43Z368P</t>
        </is>
      </c>
      <c r="D8" s="15" t="inlineStr">
        <is>
          <t>4</t>
        </is>
      </c>
      <c r="E8" s="16" t="n">
        <v>44852</v>
      </c>
      <c r="F8" s="17" t="n">
        <v>1</v>
      </c>
      <c r="G8" s="15" t="inlineStr">
        <is>
          <t>straordinari</t>
        </is>
      </c>
      <c r="H8" s="15" t="b">
        <v>1</v>
      </c>
      <c r="I8" s="17" t="n">
        <v>1781.68</v>
      </c>
      <c r="J8" s="15" t="n">
        <v>1</v>
      </c>
      <c r="K8" s="17" t="n">
        <v>20.66</v>
      </c>
      <c r="L8" s="17" t="n">
        <v>300</v>
      </c>
      <c r="M8" s="17" t="n">
        <v>611.61</v>
      </c>
      <c r="N8" s="17" t="n">
        <v>2713.95</v>
      </c>
      <c r="O8" s="17" t="n">
        <v>249.41</v>
      </c>
      <c r="P8" s="17" t="n">
        <v>2464.54</v>
      </c>
      <c r="Q8" s="17" t="n">
        <v>465.63</v>
      </c>
      <c r="R8" s="17" t="n">
        <v>36.97</v>
      </c>
      <c r="S8" s="17" t="n">
        <v>1961.94</v>
      </c>
      <c r="T8" s="17" t="n">
        <v>181.68</v>
      </c>
      <c r="U8" s="18" t="n">
        <v>2.1667</v>
      </c>
      <c r="V8" s="18" t="n">
        <v>0</v>
      </c>
      <c r="W8" s="18" t="n">
        <v>17.1794</v>
      </c>
      <c r="X8" s="19">
        <f>ROUND(INDEX(CCNL!$F$5:$F$12,MATCH(D8,CCNL!$A$5:$A$12,0))*F8,2)</f>
        <v/>
      </c>
      <c r="Y8" s="4">
        <f>(YEAR(Parametri!$C$5)*12+MONTH(Parametri!$C$5))-(YEAR(E8)*12+MONTH(E8))</f>
        <v/>
      </c>
      <c r="Z8" s="4">
        <f>MIN(Parametri!$C$13,MAX(0,INT((Y8-1)/36)))</f>
        <v/>
      </c>
      <c r="AA8" s="19">
        <f>ROUND(INDEX(CCNL!$I$5:$I$12,MATCH(D8,CCNL!$A$5:$A$12,0))*Z8*F8,2)</f>
        <v/>
      </c>
      <c r="AB8" s="19">
        <f>ROUND(N8*Parametri!$C$6,2)</f>
        <v/>
      </c>
      <c r="AC8" s="19">
        <f>ROUND((I8+K8+L8)*Parametri!$C$8/Parametri!$C$7/12,2)</f>
        <v/>
      </c>
      <c r="AD8" s="20">
        <f>IFERROR(INDEX(Agosto!$D$5:$D$173,MATCH(A8,Agosto!$A$5:$A$173,0)),0)</f>
        <v/>
      </c>
      <c r="AE8" s="21">
        <f>ROUND(AD8+ROUND(Parametri!$C$9/12,4)-V8,4)</f>
        <v/>
      </c>
      <c r="AF8" s="19">
        <f>ROUND(I8+K8+L8+M8,2)</f>
        <v/>
      </c>
      <c r="AG8" s="19">
        <f>ROUND(N8-O8-Q8-R8,2)</f>
        <v/>
      </c>
      <c r="AH8" s="22">
        <f>IFERROR(INDEX(Agosto!$C$5:$C$173,MATCH(A8,Agosto!$A$5:$A$173,0)),"")</f>
        <v/>
      </c>
      <c r="AI8" s="23">
        <f>IF(AH8="","",S8/AH8-1)</f>
        <v/>
      </c>
      <c r="AJ8" s="4">
        <f>CHAR(65+MOD(SUMPRODUCT(SUMIF('Codice fiscale'!$A$5:$A$40,MID(C8,{1,3,5,7,9,11,13,15},1),'Codice fiscale'!$B$5:$B$40))+SUMPRODUCT(SUMIF('Codice fiscale'!$A$5:$A$40,MID(C8,{2,4,6,8,10,12,14},1),'Codice fiscale'!$C$5:$C$40)),26))</f>
        <v/>
      </c>
      <c r="AK8" s="4">
        <f>IF(ABS(I8-X8)&gt;Parametri!$C$11,"ERRORE","OK")</f>
        <v/>
      </c>
      <c r="AL8" s="4">
        <f>IF(ABS(K8-AA8)&gt;Parametri!$C$11,"ERRORE","OK")</f>
        <v/>
      </c>
      <c r="AM8" s="4">
        <f>IF(ABS(O8-AB8)&gt;Parametri!$C$11,"ERRORE","OK")</f>
        <v/>
      </c>
      <c r="AN8" s="4">
        <f>IF(ABS(T8-AC8)&gt;Parametri!$C$11,"ERRORE","OK")</f>
        <v/>
      </c>
      <c r="AO8" s="4">
        <f>IF(ABS(W8-AE8)&gt;Parametri!$C$12,"ERRORE","OK")</f>
        <v/>
      </c>
      <c r="AP8" s="4">
        <f>IF(OR(ABS(N8-AF8)&gt;Parametri!$C$11,ABS(S8-AG8)&gt;Parametri!$C$11),"ERRORE","OK")</f>
        <v/>
      </c>
      <c r="AQ8" s="4">
        <f>IF(AI8="","OK",IF(AND(ABS(AI8)&gt;Parametri!$C$10,G8=""),"ERRORE","OK"))</f>
        <v/>
      </c>
      <c r="AR8" s="4">
        <f>IF(AND(LEN(C8)=16,RIGHT(C8,1)=AJ8),"OK","ERRORE")</f>
        <v/>
      </c>
      <c r="AS8" s="12">
        <f>COUNTIF(AK8:AR8,"ERRORE")</f>
        <v/>
      </c>
    </row>
    <row r="9">
      <c r="A9" s="15" t="inlineStr">
        <is>
          <t>A005</t>
        </is>
      </c>
      <c r="B9" s="15" t="inlineStr">
        <is>
          <t>A</t>
        </is>
      </c>
      <c r="C9" s="15" t="inlineStr">
        <is>
          <t>SCTRMN92P57Z172F</t>
        </is>
      </c>
      <c r="D9" s="15" t="inlineStr">
        <is>
          <t>5</t>
        </is>
      </c>
      <c r="E9" s="16" t="n">
        <v>40824</v>
      </c>
      <c r="F9" s="17" t="n">
        <v>0.75</v>
      </c>
      <c r="G9" s="15" t="inlineStr"/>
      <c r="H9" s="15" t="b">
        <v>1</v>
      </c>
      <c r="I9" s="17" t="n">
        <v>1243.51</v>
      </c>
      <c r="J9" s="15" t="n">
        <v>4</v>
      </c>
      <c r="K9" s="17" t="n">
        <v>60.9</v>
      </c>
      <c r="L9" s="17" t="n">
        <v>225</v>
      </c>
      <c r="M9" s="17" t="n">
        <v>0</v>
      </c>
      <c r="N9" s="17" t="n">
        <v>1529.41</v>
      </c>
      <c r="O9" s="17" t="n">
        <v>140.55</v>
      </c>
      <c r="P9" s="17" t="n">
        <v>1388.86</v>
      </c>
      <c r="Q9" s="17" t="n">
        <v>162.08</v>
      </c>
      <c r="R9" s="17" t="n">
        <v>20.83</v>
      </c>
      <c r="S9" s="17" t="n">
        <v>1205.95</v>
      </c>
      <c r="T9" s="17" t="n">
        <v>132.17</v>
      </c>
      <c r="U9" s="18" t="n">
        <v>2.1667</v>
      </c>
      <c r="V9" s="18" t="n">
        <v>0</v>
      </c>
      <c r="W9" s="18" t="n">
        <v>23.2978</v>
      </c>
      <c r="X9" s="19">
        <f>ROUND(INDEX(CCNL!$F$5:$F$12,MATCH(D9,CCNL!$A$5:$A$12,0))*F9,2)</f>
        <v/>
      </c>
      <c r="Y9" s="4">
        <f>(YEAR(Parametri!$C$5)*12+MONTH(Parametri!$C$5))-(YEAR(E9)*12+MONTH(E9))</f>
        <v/>
      </c>
      <c r="Z9" s="4">
        <f>MIN(Parametri!$C$13,MAX(0,INT((Y9-1)/36)))</f>
        <v/>
      </c>
      <c r="AA9" s="19">
        <f>ROUND(INDEX(CCNL!$I$5:$I$12,MATCH(D9,CCNL!$A$5:$A$12,0))*Z9*F9,2)</f>
        <v/>
      </c>
      <c r="AB9" s="19">
        <f>ROUND(N9*Parametri!$C$6,2)</f>
        <v/>
      </c>
      <c r="AC9" s="19">
        <f>ROUND((I9+K9+L9)*Parametri!$C$8/Parametri!$C$7/12,2)</f>
        <v/>
      </c>
      <c r="AD9" s="20">
        <f>IFERROR(INDEX(Agosto!$D$5:$D$173,MATCH(A9,Agosto!$A$5:$A$173,0)),0)</f>
        <v/>
      </c>
      <c r="AE9" s="21">
        <f>ROUND(AD9+ROUND(Parametri!$C$9/12,4)-V9,4)</f>
        <v/>
      </c>
      <c r="AF9" s="19">
        <f>ROUND(I9+K9+L9+M9,2)</f>
        <v/>
      </c>
      <c r="AG9" s="19">
        <f>ROUND(N9-O9-Q9-R9,2)</f>
        <v/>
      </c>
      <c r="AH9" s="22">
        <f>IFERROR(INDEX(Agosto!$C$5:$C$173,MATCH(A9,Agosto!$A$5:$A$173,0)),"")</f>
        <v/>
      </c>
      <c r="AI9" s="23">
        <f>IF(AH9="","",S9/AH9-1)</f>
        <v/>
      </c>
      <c r="AJ9" s="4">
        <f>CHAR(65+MOD(SUMPRODUCT(SUMIF('Codice fiscale'!$A$5:$A$40,MID(C9,{1,3,5,7,9,11,13,15},1),'Codice fiscale'!$B$5:$B$40))+SUMPRODUCT(SUMIF('Codice fiscale'!$A$5:$A$40,MID(C9,{2,4,6,8,10,12,14},1),'Codice fiscale'!$C$5:$C$40)),26))</f>
        <v/>
      </c>
      <c r="AK9" s="4">
        <f>IF(ABS(I9-X9)&gt;Parametri!$C$11,"ERRORE","OK")</f>
        <v/>
      </c>
      <c r="AL9" s="4">
        <f>IF(ABS(K9-AA9)&gt;Parametri!$C$11,"ERRORE","OK")</f>
        <v/>
      </c>
      <c r="AM9" s="4">
        <f>IF(ABS(O9-AB9)&gt;Parametri!$C$11,"ERRORE","OK")</f>
        <v/>
      </c>
      <c r="AN9" s="4">
        <f>IF(ABS(T9-AC9)&gt;Parametri!$C$11,"ERRORE","OK")</f>
        <v/>
      </c>
      <c r="AO9" s="4">
        <f>IF(ABS(W9-AE9)&gt;Parametri!$C$12,"ERRORE","OK")</f>
        <v/>
      </c>
      <c r="AP9" s="4">
        <f>IF(OR(ABS(N9-AF9)&gt;Parametri!$C$11,ABS(S9-AG9)&gt;Parametri!$C$11),"ERRORE","OK")</f>
        <v/>
      </c>
      <c r="AQ9" s="4">
        <f>IF(AI9="","OK",IF(AND(ABS(AI9)&gt;Parametri!$C$10,G9=""),"ERRORE","OK"))</f>
        <v/>
      </c>
      <c r="AR9" s="4">
        <f>IF(AND(LEN(C9)=16,RIGHT(C9,1)=AJ9),"OK","ERRORE")</f>
        <v/>
      </c>
      <c r="AS9" s="12">
        <f>COUNTIF(AK9:AR9,"ERRORE")</f>
        <v/>
      </c>
    </row>
    <row r="10">
      <c r="A10" s="15" t="inlineStr">
        <is>
          <t>A006</t>
        </is>
      </c>
      <c r="B10" s="15" t="inlineStr">
        <is>
          <t>A</t>
        </is>
      </c>
      <c r="C10" s="15" t="inlineStr">
        <is>
          <t>GPMSGP69S63Z356P</t>
        </is>
      </c>
      <c r="D10" s="15" t="inlineStr">
        <is>
          <t>5</t>
        </is>
      </c>
      <c r="E10" s="16" t="n">
        <v>45612</v>
      </c>
      <c r="F10" s="17" t="n">
        <v>0.5</v>
      </c>
      <c r="G10" s="15" t="inlineStr"/>
      <c r="H10" s="15" t="b">
        <v>1</v>
      </c>
      <c r="I10" s="17" t="n">
        <v>829.01</v>
      </c>
      <c r="J10" s="15" t="n">
        <v>0</v>
      </c>
      <c r="K10" s="17" t="n">
        <v>0</v>
      </c>
      <c r="L10" s="17" t="n">
        <v>150</v>
      </c>
      <c r="M10" s="17" t="n">
        <v>0</v>
      </c>
      <c r="N10" s="17" t="n">
        <v>979.01</v>
      </c>
      <c r="O10" s="17" t="n">
        <v>89.97</v>
      </c>
      <c r="P10" s="17" t="n">
        <v>889.04</v>
      </c>
      <c r="Q10" s="17" t="n">
        <v>41.56</v>
      </c>
      <c r="R10" s="17" t="n">
        <v>13.34</v>
      </c>
      <c r="S10" s="17" t="n">
        <v>834.14</v>
      </c>
      <c r="T10" s="17" t="n">
        <v>84.61</v>
      </c>
      <c r="U10" s="18" t="n">
        <v>2.1667</v>
      </c>
      <c r="V10" s="18" t="n">
        <v>0</v>
      </c>
      <c r="W10" s="18" t="n">
        <v>32.8612</v>
      </c>
      <c r="X10" s="19">
        <f>ROUND(INDEX(CCNL!$F$5:$F$12,MATCH(D10,CCNL!$A$5:$A$12,0))*F10,2)</f>
        <v/>
      </c>
      <c r="Y10" s="4">
        <f>(YEAR(Parametri!$C$5)*12+MONTH(Parametri!$C$5))-(YEAR(E10)*12+MONTH(E10))</f>
        <v/>
      </c>
      <c r="Z10" s="4">
        <f>MIN(Parametri!$C$13,MAX(0,INT((Y10-1)/36)))</f>
        <v/>
      </c>
      <c r="AA10" s="19">
        <f>ROUND(INDEX(CCNL!$I$5:$I$12,MATCH(D10,CCNL!$A$5:$A$12,0))*Z10*F10,2)</f>
        <v/>
      </c>
      <c r="AB10" s="19">
        <f>ROUND(N10*Parametri!$C$6,2)</f>
        <v/>
      </c>
      <c r="AC10" s="19">
        <f>ROUND((I10+K10+L10)*Parametri!$C$8/Parametri!$C$7/12,2)</f>
        <v/>
      </c>
      <c r="AD10" s="20">
        <f>IFERROR(INDEX(Agosto!$D$5:$D$173,MATCH(A10,Agosto!$A$5:$A$173,0)),0)</f>
        <v/>
      </c>
      <c r="AE10" s="21">
        <f>ROUND(AD10+ROUND(Parametri!$C$9/12,4)-V10,4)</f>
        <v/>
      </c>
      <c r="AF10" s="19">
        <f>ROUND(I10+K10+L10+M10,2)</f>
        <v/>
      </c>
      <c r="AG10" s="19">
        <f>ROUND(N10-O10-Q10-R10,2)</f>
        <v/>
      </c>
      <c r="AH10" s="22">
        <f>IFERROR(INDEX(Agosto!$C$5:$C$173,MATCH(A10,Agosto!$A$5:$A$173,0)),"")</f>
        <v/>
      </c>
      <c r="AI10" s="23">
        <f>IF(AH10="","",S10/AH10-1)</f>
        <v/>
      </c>
      <c r="AJ10" s="4">
        <f>CHAR(65+MOD(SUMPRODUCT(SUMIF('Codice fiscale'!$A$5:$A$40,MID(C10,{1,3,5,7,9,11,13,15},1),'Codice fiscale'!$B$5:$B$40))+SUMPRODUCT(SUMIF('Codice fiscale'!$A$5:$A$40,MID(C10,{2,4,6,8,10,12,14},1),'Codice fiscale'!$C$5:$C$40)),26))</f>
        <v/>
      </c>
      <c r="AK10" s="4">
        <f>IF(ABS(I10-X10)&gt;Parametri!$C$11,"ERRORE","OK")</f>
        <v/>
      </c>
      <c r="AL10" s="4">
        <f>IF(ABS(K10-AA10)&gt;Parametri!$C$11,"ERRORE","OK")</f>
        <v/>
      </c>
      <c r="AM10" s="4">
        <f>IF(ABS(O10-AB10)&gt;Parametri!$C$11,"ERRORE","OK")</f>
        <v/>
      </c>
      <c r="AN10" s="4">
        <f>IF(ABS(T10-AC10)&gt;Parametri!$C$11,"ERRORE","OK")</f>
        <v/>
      </c>
      <c r="AO10" s="4">
        <f>IF(ABS(W10-AE10)&gt;Parametri!$C$12,"ERRORE","OK")</f>
        <v/>
      </c>
      <c r="AP10" s="4">
        <f>IF(OR(ABS(N10-AF10)&gt;Parametri!$C$11,ABS(S10-AG10)&gt;Parametri!$C$11),"ERRORE","OK")</f>
        <v/>
      </c>
      <c r="AQ10" s="4">
        <f>IF(AI10="","OK",IF(AND(ABS(AI10)&gt;Parametri!$C$10,G10=""),"ERRORE","OK"))</f>
        <v/>
      </c>
      <c r="AR10" s="4">
        <f>IF(AND(LEN(C10)=16,RIGHT(C10,1)=AJ10),"OK","ERRORE")</f>
        <v/>
      </c>
      <c r="AS10" s="12">
        <f>COUNTIF(AK10:AR10,"ERRORE")</f>
        <v/>
      </c>
    </row>
    <row r="11">
      <c r="A11" s="15" t="inlineStr">
        <is>
          <t>A007</t>
        </is>
      </c>
      <c r="B11" s="15" t="inlineStr">
        <is>
          <t>A</t>
        </is>
      </c>
      <c r="C11" s="15" t="inlineStr">
        <is>
          <t>VPNLFG87L07Z348V</t>
        </is>
      </c>
      <c r="D11" s="15" t="inlineStr">
        <is>
          <t>1</t>
        </is>
      </c>
      <c r="E11" s="16" t="n">
        <v>44046</v>
      </c>
      <c r="F11" s="17" t="n">
        <v>1</v>
      </c>
      <c r="G11" s="15" t="inlineStr"/>
      <c r="H11" s="15" t="b">
        <v>1</v>
      </c>
      <c r="I11" s="17" t="n">
        <v>2504.07</v>
      </c>
      <c r="J11" s="15" t="n">
        <v>1</v>
      </c>
      <c r="K11" s="17" t="n">
        <v>24.84</v>
      </c>
      <c r="L11" s="17" t="n">
        <v>200</v>
      </c>
      <c r="M11" s="17" t="n">
        <v>0</v>
      </c>
      <c r="N11" s="17" t="n">
        <v>2728.91</v>
      </c>
      <c r="O11" s="17" t="n">
        <v>250.79</v>
      </c>
      <c r="P11" s="17" t="n">
        <v>2478.12</v>
      </c>
      <c r="Q11" s="17" t="n">
        <v>470.65</v>
      </c>
      <c r="R11" s="17" t="n">
        <v>37.17</v>
      </c>
      <c r="S11" s="17" t="n">
        <v>1970.3</v>
      </c>
      <c r="T11" s="17" t="n">
        <v>235.83</v>
      </c>
      <c r="U11" s="18" t="n">
        <v>2.1667</v>
      </c>
      <c r="V11" s="18" t="n">
        <v>0</v>
      </c>
      <c r="W11" s="18" t="n">
        <v>19.5186</v>
      </c>
      <c r="X11" s="19">
        <f>ROUND(INDEX(CCNL!$F$5:$F$12,MATCH(D11,CCNL!$A$5:$A$12,0))*F11,2)</f>
        <v/>
      </c>
      <c r="Y11" s="4">
        <f>(YEAR(Parametri!$C$5)*12+MONTH(Parametri!$C$5))-(YEAR(E11)*12+MONTH(E11))</f>
        <v/>
      </c>
      <c r="Z11" s="4">
        <f>MIN(Parametri!$C$13,MAX(0,INT((Y11-1)/36)))</f>
        <v/>
      </c>
      <c r="AA11" s="19">
        <f>ROUND(INDEX(CCNL!$I$5:$I$12,MATCH(D11,CCNL!$A$5:$A$12,0))*Z11*F11,2)</f>
        <v/>
      </c>
      <c r="AB11" s="19">
        <f>ROUND(N11*Parametri!$C$6,2)</f>
        <v/>
      </c>
      <c r="AC11" s="19">
        <f>ROUND((I11+K11+L11)*Parametri!$C$8/Parametri!$C$7/12,2)</f>
        <v/>
      </c>
      <c r="AD11" s="20">
        <f>IFERROR(INDEX(Agosto!$D$5:$D$173,MATCH(A11,Agosto!$A$5:$A$173,0)),0)</f>
        <v/>
      </c>
      <c r="AE11" s="21">
        <f>ROUND(AD11+ROUND(Parametri!$C$9/12,4)-V11,4)</f>
        <v/>
      </c>
      <c r="AF11" s="19">
        <f>ROUND(I11+K11+L11+M11,2)</f>
        <v/>
      </c>
      <c r="AG11" s="19">
        <f>ROUND(N11-O11-Q11-R11,2)</f>
        <v/>
      </c>
      <c r="AH11" s="22">
        <f>IFERROR(INDEX(Agosto!$C$5:$C$173,MATCH(A11,Agosto!$A$5:$A$173,0)),"")</f>
        <v/>
      </c>
      <c r="AI11" s="23">
        <f>IF(AH11="","",S11/AH11-1)</f>
        <v/>
      </c>
      <c r="AJ11" s="4">
        <f>CHAR(65+MOD(SUMPRODUCT(SUMIF('Codice fiscale'!$A$5:$A$40,MID(C11,{1,3,5,7,9,11,13,15},1),'Codice fiscale'!$B$5:$B$40))+SUMPRODUCT(SUMIF('Codice fiscale'!$A$5:$A$40,MID(C11,{2,4,6,8,10,12,14},1),'Codice fiscale'!$C$5:$C$40)),26))</f>
        <v/>
      </c>
      <c r="AK11" s="4">
        <f>IF(ABS(I11-X11)&gt;Parametri!$C$11,"ERRORE","OK")</f>
        <v/>
      </c>
      <c r="AL11" s="4">
        <f>IF(ABS(K11-AA11)&gt;Parametri!$C$11,"ERRORE","OK")</f>
        <v/>
      </c>
      <c r="AM11" s="4">
        <f>IF(ABS(O11-AB11)&gt;Parametri!$C$11,"ERRORE","OK")</f>
        <v/>
      </c>
      <c r="AN11" s="4">
        <f>IF(ABS(T11-AC11)&gt;Parametri!$C$11,"ERRORE","OK")</f>
        <v/>
      </c>
      <c r="AO11" s="4">
        <f>IF(ABS(W11-AE11)&gt;Parametri!$C$12,"ERRORE","OK")</f>
        <v/>
      </c>
      <c r="AP11" s="4">
        <f>IF(OR(ABS(N11-AF11)&gt;Parametri!$C$11,ABS(S11-AG11)&gt;Parametri!$C$11),"ERRORE","OK")</f>
        <v/>
      </c>
      <c r="AQ11" s="4">
        <f>IF(AI11="","OK",IF(AND(ABS(AI11)&gt;Parametri!$C$10,G11=""),"ERRORE","OK"))</f>
        <v/>
      </c>
      <c r="AR11" s="4">
        <f>IF(AND(LEN(C11)=16,RIGHT(C11,1)=AJ11),"OK","ERRORE")</f>
        <v/>
      </c>
      <c r="AS11" s="12">
        <f>COUNTIF(AK11:AR11,"ERRORE")</f>
        <v/>
      </c>
    </row>
    <row r="12">
      <c r="A12" s="15" t="inlineStr">
        <is>
          <t>A008</t>
        </is>
      </c>
      <c r="B12" s="15" t="inlineStr">
        <is>
          <t>A</t>
        </is>
      </c>
      <c r="C12" s="15" t="inlineStr">
        <is>
          <t>NTTVPG93L18Z331K</t>
        </is>
      </c>
      <c r="D12" s="15" t="inlineStr">
        <is>
          <t>3</t>
        </is>
      </c>
      <c r="E12" s="16" t="n">
        <v>44588</v>
      </c>
      <c r="F12" s="17" t="n">
        <v>1</v>
      </c>
      <c r="G12" s="15" t="inlineStr"/>
      <c r="H12" s="15" t="b">
        <v>0</v>
      </c>
      <c r="I12" s="17" t="n">
        <v>1981.84</v>
      </c>
      <c r="J12" s="15" t="n">
        <v>1</v>
      </c>
      <c r="K12" s="17" t="n">
        <v>21.95</v>
      </c>
      <c r="L12" s="17" t="n">
        <v>0</v>
      </c>
      <c r="M12" s="17" t="n">
        <v>0</v>
      </c>
      <c r="N12" s="17" t="n">
        <v>2003.79</v>
      </c>
      <c r="O12" s="17" t="n">
        <v>184.15</v>
      </c>
      <c r="P12" s="17" t="n">
        <v>1819.64</v>
      </c>
      <c r="Q12" s="17" t="n">
        <v>278.39</v>
      </c>
      <c r="R12" s="17" t="n">
        <v>27.29</v>
      </c>
      <c r="S12" s="17" t="n">
        <v>1513.96</v>
      </c>
      <c r="T12" s="17" t="n">
        <v>173.17</v>
      </c>
      <c r="U12" s="18" t="n">
        <v>2.1667</v>
      </c>
      <c r="V12" s="18" t="n">
        <v>0</v>
      </c>
      <c r="W12" s="18" t="n">
        <v>13.291</v>
      </c>
      <c r="X12" s="19">
        <f>ROUND(INDEX(CCNL!$F$5:$F$12,MATCH(D12,CCNL!$A$5:$A$12,0))*F12,2)</f>
        <v/>
      </c>
      <c r="Y12" s="4">
        <f>(YEAR(Parametri!$C$5)*12+MONTH(Parametri!$C$5))-(YEAR(E12)*12+MONTH(E12))</f>
        <v/>
      </c>
      <c r="Z12" s="4">
        <f>MIN(Parametri!$C$13,MAX(0,INT((Y12-1)/36)))</f>
        <v/>
      </c>
      <c r="AA12" s="19">
        <f>ROUND(INDEX(CCNL!$I$5:$I$12,MATCH(D12,CCNL!$A$5:$A$12,0))*Z12*F12,2)</f>
        <v/>
      </c>
      <c r="AB12" s="19">
        <f>ROUND(N12*Parametri!$C$6,2)</f>
        <v/>
      </c>
      <c r="AC12" s="19">
        <f>ROUND((I12+K12+L12)*Parametri!$C$8/Parametri!$C$7/12,2)</f>
        <v/>
      </c>
      <c r="AD12" s="20">
        <f>IFERROR(INDEX(Agosto!$D$5:$D$173,MATCH(A12,Agosto!$A$5:$A$173,0)),0)</f>
        <v/>
      </c>
      <c r="AE12" s="21">
        <f>ROUND(AD12+ROUND(Parametri!$C$9/12,4)-V12,4)</f>
        <v/>
      </c>
      <c r="AF12" s="19">
        <f>ROUND(I12+K12+L12+M12,2)</f>
        <v/>
      </c>
      <c r="AG12" s="19">
        <f>ROUND(N12-O12-Q12-R12,2)</f>
        <v/>
      </c>
      <c r="AH12" s="22">
        <f>IFERROR(INDEX(Agosto!$C$5:$C$173,MATCH(A12,Agosto!$A$5:$A$173,0)),"")</f>
        <v/>
      </c>
      <c r="AI12" s="23">
        <f>IF(AH12="","",S12/AH12-1)</f>
        <v/>
      </c>
      <c r="AJ12" s="4">
        <f>CHAR(65+MOD(SUMPRODUCT(SUMIF('Codice fiscale'!$A$5:$A$40,MID(C12,{1,3,5,7,9,11,13,15},1),'Codice fiscale'!$B$5:$B$40))+SUMPRODUCT(SUMIF('Codice fiscale'!$A$5:$A$40,MID(C12,{2,4,6,8,10,12,14},1),'Codice fiscale'!$C$5:$C$40)),26))</f>
        <v/>
      </c>
      <c r="AK12" s="4">
        <f>IF(ABS(I12-X12)&gt;Parametri!$C$11,"ERRORE","OK")</f>
        <v/>
      </c>
      <c r="AL12" s="4">
        <f>IF(ABS(K12-AA12)&gt;Parametri!$C$11,"ERRORE","OK")</f>
        <v/>
      </c>
      <c r="AM12" s="4">
        <f>IF(ABS(O12-AB12)&gt;Parametri!$C$11,"ERRORE","OK")</f>
        <v/>
      </c>
      <c r="AN12" s="4">
        <f>IF(ABS(T12-AC12)&gt;Parametri!$C$11,"ERRORE","OK")</f>
        <v/>
      </c>
      <c r="AO12" s="4">
        <f>IF(ABS(W12-AE12)&gt;Parametri!$C$12,"ERRORE","OK")</f>
        <v/>
      </c>
      <c r="AP12" s="4">
        <f>IF(OR(ABS(N12-AF12)&gt;Parametri!$C$11,ABS(S12-AG12)&gt;Parametri!$C$11),"ERRORE","OK")</f>
        <v/>
      </c>
      <c r="AQ12" s="4">
        <f>IF(AI12="","OK",IF(AND(ABS(AI12)&gt;Parametri!$C$10,G12=""),"ERRORE","OK"))</f>
        <v/>
      </c>
      <c r="AR12" s="4">
        <f>IF(AND(LEN(C12)=16,RIGHT(C12,1)=AJ12),"OK","ERRORE")</f>
        <v/>
      </c>
      <c r="AS12" s="12">
        <f>COUNTIF(AK12:AR12,"ERRORE")</f>
        <v/>
      </c>
    </row>
    <row r="13">
      <c r="A13" s="15" t="inlineStr">
        <is>
          <t>A009</t>
        </is>
      </c>
      <c r="B13" s="15" t="inlineStr">
        <is>
          <t>A</t>
        </is>
      </c>
      <c r="C13" s="15" t="inlineStr">
        <is>
          <t>TZMDNB89T56Z147H</t>
        </is>
      </c>
      <c r="D13" s="15" t="inlineStr">
        <is>
          <t>6</t>
        </is>
      </c>
      <c r="E13" s="16" t="n">
        <v>40491</v>
      </c>
      <c r="F13" s="17" t="n">
        <v>1</v>
      </c>
      <c r="G13" s="15" t="inlineStr"/>
      <c r="H13" s="15" t="b">
        <v>1</v>
      </c>
      <c r="I13" s="17" t="n">
        <v>1539.7</v>
      </c>
      <c r="J13" s="15" t="n">
        <v>5</v>
      </c>
      <c r="K13" s="17" t="n">
        <v>98.65000000000001</v>
      </c>
      <c r="L13" s="17" t="n">
        <v>50</v>
      </c>
      <c r="M13" s="17" t="n">
        <v>0</v>
      </c>
      <c r="N13" s="17" t="n">
        <v>1688.35</v>
      </c>
      <c r="O13" s="17" t="n">
        <v>155.16</v>
      </c>
      <c r="P13" s="17" t="n">
        <v>1533.19</v>
      </c>
      <c r="Q13" s="17" t="n">
        <v>201.04</v>
      </c>
      <c r="R13" s="17" t="n">
        <v>23</v>
      </c>
      <c r="S13" s="17" t="n">
        <v>1309.15</v>
      </c>
      <c r="T13" s="17" t="n">
        <v>145.91</v>
      </c>
      <c r="U13" s="18" t="n">
        <v>2.1667</v>
      </c>
      <c r="V13" s="18" t="n">
        <v>0</v>
      </c>
      <c r="W13" s="18" t="n">
        <v>20.7886</v>
      </c>
      <c r="X13" s="19">
        <f>ROUND(INDEX(CCNL!$F$5:$F$12,MATCH(D13,CCNL!$A$5:$A$12,0))*F13,2)</f>
        <v/>
      </c>
      <c r="Y13" s="4">
        <f>(YEAR(Parametri!$C$5)*12+MONTH(Parametri!$C$5))-(YEAR(E13)*12+MONTH(E13))</f>
        <v/>
      </c>
      <c r="Z13" s="4">
        <f>MIN(Parametri!$C$13,MAX(0,INT((Y13-1)/36)))</f>
        <v/>
      </c>
      <c r="AA13" s="19">
        <f>ROUND(INDEX(CCNL!$I$5:$I$12,MATCH(D13,CCNL!$A$5:$A$12,0))*Z13*F13,2)</f>
        <v/>
      </c>
      <c r="AB13" s="19">
        <f>ROUND(N13*Parametri!$C$6,2)</f>
        <v/>
      </c>
      <c r="AC13" s="19">
        <f>ROUND((I13+K13+L13)*Parametri!$C$8/Parametri!$C$7/12,2)</f>
        <v/>
      </c>
      <c r="AD13" s="20">
        <f>IFERROR(INDEX(Agosto!$D$5:$D$173,MATCH(A13,Agosto!$A$5:$A$173,0)),0)</f>
        <v/>
      </c>
      <c r="AE13" s="21">
        <f>ROUND(AD13+ROUND(Parametri!$C$9/12,4)-V13,4)</f>
        <v/>
      </c>
      <c r="AF13" s="19">
        <f>ROUND(I13+K13+L13+M13,2)</f>
        <v/>
      </c>
      <c r="AG13" s="19">
        <f>ROUND(N13-O13-Q13-R13,2)</f>
        <v/>
      </c>
      <c r="AH13" s="22">
        <f>IFERROR(INDEX(Agosto!$C$5:$C$173,MATCH(A13,Agosto!$A$5:$A$173,0)),"")</f>
        <v/>
      </c>
      <c r="AI13" s="23">
        <f>IF(AH13="","",S13/AH13-1)</f>
        <v/>
      </c>
      <c r="AJ13" s="4">
        <f>CHAR(65+MOD(SUMPRODUCT(SUMIF('Codice fiscale'!$A$5:$A$40,MID(C13,{1,3,5,7,9,11,13,15},1),'Codice fiscale'!$B$5:$B$40))+SUMPRODUCT(SUMIF('Codice fiscale'!$A$5:$A$40,MID(C13,{2,4,6,8,10,12,14},1),'Codice fiscale'!$C$5:$C$40)),26))</f>
        <v/>
      </c>
      <c r="AK13" s="4">
        <f>IF(ABS(I13-X13)&gt;Parametri!$C$11,"ERRORE","OK")</f>
        <v/>
      </c>
      <c r="AL13" s="4">
        <f>IF(ABS(K13-AA13)&gt;Parametri!$C$11,"ERRORE","OK")</f>
        <v/>
      </c>
      <c r="AM13" s="4">
        <f>IF(ABS(O13-AB13)&gt;Parametri!$C$11,"ERRORE","OK")</f>
        <v/>
      </c>
      <c r="AN13" s="4">
        <f>IF(ABS(T13-AC13)&gt;Parametri!$C$11,"ERRORE","OK")</f>
        <v/>
      </c>
      <c r="AO13" s="4">
        <f>IF(ABS(W13-AE13)&gt;Parametri!$C$12,"ERRORE","OK")</f>
        <v/>
      </c>
      <c r="AP13" s="4">
        <f>IF(OR(ABS(N13-AF13)&gt;Parametri!$C$11,ABS(S13-AG13)&gt;Parametri!$C$11),"ERRORE","OK")</f>
        <v/>
      </c>
      <c r="AQ13" s="4">
        <f>IF(AI13="","OK",IF(AND(ABS(AI13)&gt;Parametri!$C$10,G13=""),"ERRORE","OK"))</f>
        <v/>
      </c>
      <c r="AR13" s="4">
        <f>IF(AND(LEN(C13)=16,RIGHT(C13,1)=AJ13),"OK","ERRORE")</f>
        <v/>
      </c>
      <c r="AS13" s="12">
        <f>COUNTIF(AK13:AR13,"ERRORE")</f>
        <v/>
      </c>
    </row>
    <row r="14">
      <c r="A14" s="15" t="inlineStr">
        <is>
          <t>A010</t>
        </is>
      </c>
      <c r="B14" s="15" t="inlineStr">
        <is>
          <t>A</t>
        </is>
      </c>
      <c r="C14" s="15" t="inlineStr">
        <is>
          <t>SVSLDB67R26Z260S</t>
        </is>
      </c>
      <c r="D14" s="15" t="inlineStr">
        <is>
          <t>4</t>
        </is>
      </c>
      <c r="E14" s="16" t="n">
        <v>39176</v>
      </c>
      <c r="F14" s="17" t="n">
        <v>0.75</v>
      </c>
      <c r="G14" s="15" t="inlineStr"/>
      <c r="H14" s="15" t="b">
        <v>1</v>
      </c>
      <c r="I14" s="17" t="n">
        <v>1336.26</v>
      </c>
      <c r="J14" s="15" t="n">
        <v>6</v>
      </c>
      <c r="K14" s="17" t="n">
        <v>92.97</v>
      </c>
      <c r="L14" s="17" t="n">
        <v>60</v>
      </c>
      <c r="M14" s="17" t="n">
        <v>0</v>
      </c>
      <c r="N14" s="17" t="n">
        <v>1489.23</v>
      </c>
      <c r="O14" s="17" t="n">
        <v>136.86</v>
      </c>
      <c r="P14" s="17" t="n">
        <v>1352.37</v>
      </c>
      <c r="Q14" s="17" t="n">
        <v>152.22</v>
      </c>
      <c r="R14" s="17" t="n">
        <v>20.29</v>
      </c>
      <c r="S14" s="17" t="n">
        <v>1179.86</v>
      </c>
      <c r="T14" s="17" t="n">
        <v>128.7</v>
      </c>
      <c r="U14" s="18" t="n">
        <v>2.1667</v>
      </c>
      <c r="V14" s="18" t="n">
        <v>2</v>
      </c>
      <c r="W14" s="18" t="n">
        <v>14.2371</v>
      </c>
      <c r="X14" s="19">
        <f>ROUND(INDEX(CCNL!$F$5:$F$12,MATCH(D14,CCNL!$A$5:$A$12,0))*F14,2)</f>
        <v/>
      </c>
      <c r="Y14" s="4">
        <f>(YEAR(Parametri!$C$5)*12+MONTH(Parametri!$C$5))-(YEAR(E14)*12+MONTH(E14))</f>
        <v/>
      </c>
      <c r="Z14" s="4">
        <f>MIN(Parametri!$C$13,MAX(0,INT((Y14-1)/36)))</f>
        <v/>
      </c>
      <c r="AA14" s="19">
        <f>ROUND(INDEX(CCNL!$I$5:$I$12,MATCH(D14,CCNL!$A$5:$A$12,0))*Z14*F14,2)</f>
        <v/>
      </c>
      <c r="AB14" s="19">
        <f>ROUND(N14*Parametri!$C$6,2)</f>
        <v/>
      </c>
      <c r="AC14" s="19">
        <f>ROUND((I14+K14+L14)*Parametri!$C$8/Parametri!$C$7/12,2)</f>
        <v/>
      </c>
      <c r="AD14" s="20">
        <f>IFERROR(INDEX(Agosto!$D$5:$D$173,MATCH(A14,Agosto!$A$5:$A$173,0)),0)</f>
        <v/>
      </c>
      <c r="AE14" s="21">
        <f>ROUND(AD14+ROUND(Parametri!$C$9/12,4)-V14,4)</f>
        <v/>
      </c>
      <c r="AF14" s="19">
        <f>ROUND(I14+K14+L14+M14,2)</f>
        <v/>
      </c>
      <c r="AG14" s="19">
        <f>ROUND(N14-O14-Q14-R14,2)</f>
        <v/>
      </c>
      <c r="AH14" s="22">
        <f>IFERROR(INDEX(Agosto!$C$5:$C$173,MATCH(A14,Agosto!$A$5:$A$173,0)),"")</f>
        <v/>
      </c>
      <c r="AI14" s="23">
        <f>IF(AH14="","",S14/AH14-1)</f>
        <v/>
      </c>
      <c r="AJ14" s="4">
        <f>CHAR(65+MOD(SUMPRODUCT(SUMIF('Codice fiscale'!$A$5:$A$40,MID(C14,{1,3,5,7,9,11,13,15},1),'Codice fiscale'!$B$5:$B$40))+SUMPRODUCT(SUMIF('Codice fiscale'!$A$5:$A$40,MID(C14,{2,4,6,8,10,12,14},1),'Codice fiscale'!$C$5:$C$40)),26))</f>
        <v/>
      </c>
      <c r="AK14" s="4">
        <f>IF(ABS(I14-X14)&gt;Parametri!$C$11,"ERRORE","OK")</f>
        <v/>
      </c>
      <c r="AL14" s="4">
        <f>IF(ABS(K14-AA14)&gt;Parametri!$C$11,"ERRORE","OK")</f>
        <v/>
      </c>
      <c r="AM14" s="4">
        <f>IF(ABS(O14-AB14)&gt;Parametri!$C$11,"ERRORE","OK")</f>
        <v/>
      </c>
      <c r="AN14" s="4">
        <f>IF(ABS(T14-AC14)&gt;Parametri!$C$11,"ERRORE","OK")</f>
        <v/>
      </c>
      <c r="AO14" s="4">
        <f>IF(ABS(W14-AE14)&gt;Parametri!$C$12,"ERRORE","OK")</f>
        <v/>
      </c>
      <c r="AP14" s="4">
        <f>IF(OR(ABS(N14-AF14)&gt;Parametri!$C$11,ABS(S14-AG14)&gt;Parametri!$C$11),"ERRORE","OK")</f>
        <v/>
      </c>
      <c r="AQ14" s="4">
        <f>IF(AI14="","OK",IF(AND(ABS(AI14)&gt;Parametri!$C$10,G14=""),"ERRORE","OK"))</f>
        <v/>
      </c>
      <c r="AR14" s="4">
        <f>IF(AND(LEN(C14)=16,RIGHT(C14,1)=AJ14),"OK","ERRORE")</f>
        <v/>
      </c>
      <c r="AS14" s="12">
        <f>COUNTIF(AK14:AR14,"ERRORE")</f>
        <v/>
      </c>
    </row>
    <row r="15">
      <c r="A15" s="15" t="inlineStr">
        <is>
          <t>A011</t>
        </is>
      </c>
      <c r="B15" s="15" t="inlineStr">
        <is>
          <t>A</t>
        </is>
      </c>
      <c r="C15" s="15" t="inlineStr">
        <is>
          <t>GCMSDD93T24Z256G</t>
        </is>
      </c>
      <c r="D15" s="15" t="inlineStr">
        <is>
          <t>4</t>
        </is>
      </c>
      <c r="E15" s="16" t="n">
        <v>41890</v>
      </c>
      <c r="F15" s="17" t="n">
        <v>1</v>
      </c>
      <c r="G15" s="15" t="inlineStr"/>
      <c r="H15" s="15" t="b">
        <v>1</v>
      </c>
      <c r="I15" s="17" t="n">
        <v>1781.68</v>
      </c>
      <c r="J15" s="15" t="n">
        <v>3</v>
      </c>
      <c r="K15" s="17" t="n">
        <v>61.98</v>
      </c>
      <c r="L15" s="17" t="n">
        <v>300</v>
      </c>
      <c r="M15" s="17" t="n">
        <v>0</v>
      </c>
      <c r="N15" s="17" t="n">
        <v>2143.66</v>
      </c>
      <c r="O15" s="17" t="n">
        <v>197</v>
      </c>
      <c r="P15" s="17" t="n">
        <v>1946.66</v>
      </c>
      <c r="Q15" s="17" t="n">
        <v>312.68</v>
      </c>
      <c r="R15" s="17" t="n">
        <v>29.2</v>
      </c>
      <c r="S15" s="17" t="n">
        <v>1604.78</v>
      </c>
      <c r="T15" s="17" t="n">
        <v>185.25</v>
      </c>
      <c r="U15" s="18" t="n">
        <v>2.1667</v>
      </c>
      <c r="V15" s="18" t="n">
        <v>2</v>
      </c>
      <c r="W15" s="18" t="n">
        <v>26.0644</v>
      </c>
      <c r="X15" s="19">
        <f>ROUND(INDEX(CCNL!$F$5:$F$12,MATCH(D15,CCNL!$A$5:$A$12,0))*F15,2)</f>
        <v/>
      </c>
      <c r="Y15" s="4">
        <f>(YEAR(Parametri!$C$5)*12+MONTH(Parametri!$C$5))-(YEAR(E15)*12+MONTH(E15))</f>
        <v/>
      </c>
      <c r="Z15" s="4">
        <f>MIN(Parametri!$C$13,MAX(0,INT((Y15-1)/36)))</f>
        <v/>
      </c>
      <c r="AA15" s="19">
        <f>ROUND(INDEX(CCNL!$I$5:$I$12,MATCH(D15,CCNL!$A$5:$A$12,0))*Z15*F15,2)</f>
        <v/>
      </c>
      <c r="AB15" s="19">
        <f>ROUND(N15*Parametri!$C$6,2)</f>
        <v/>
      </c>
      <c r="AC15" s="19">
        <f>ROUND((I15+K15+L15)*Parametri!$C$8/Parametri!$C$7/12,2)</f>
        <v/>
      </c>
      <c r="AD15" s="20">
        <f>IFERROR(INDEX(Agosto!$D$5:$D$173,MATCH(A15,Agosto!$A$5:$A$173,0)),0)</f>
        <v/>
      </c>
      <c r="AE15" s="21">
        <f>ROUND(AD15+ROUND(Parametri!$C$9/12,4)-V15,4)</f>
        <v/>
      </c>
      <c r="AF15" s="19">
        <f>ROUND(I15+K15+L15+M15,2)</f>
        <v/>
      </c>
      <c r="AG15" s="19">
        <f>ROUND(N15-O15-Q15-R15,2)</f>
        <v/>
      </c>
      <c r="AH15" s="22">
        <f>IFERROR(INDEX(Agosto!$C$5:$C$173,MATCH(A15,Agosto!$A$5:$A$173,0)),"")</f>
        <v/>
      </c>
      <c r="AI15" s="23">
        <f>IF(AH15="","",S15/AH15-1)</f>
        <v/>
      </c>
      <c r="AJ15" s="4">
        <f>CHAR(65+MOD(SUMPRODUCT(SUMIF('Codice fiscale'!$A$5:$A$40,MID(C15,{1,3,5,7,9,11,13,15},1),'Codice fiscale'!$B$5:$B$40))+SUMPRODUCT(SUMIF('Codice fiscale'!$A$5:$A$40,MID(C15,{2,4,6,8,10,12,14},1),'Codice fiscale'!$C$5:$C$40)),26))</f>
        <v/>
      </c>
      <c r="AK15" s="4">
        <f>IF(ABS(I15-X15)&gt;Parametri!$C$11,"ERRORE","OK")</f>
        <v/>
      </c>
      <c r="AL15" s="4">
        <f>IF(ABS(K15-AA15)&gt;Parametri!$C$11,"ERRORE","OK")</f>
        <v/>
      </c>
      <c r="AM15" s="4">
        <f>IF(ABS(O15-AB15)&gt;Parametri!$C$11,"ERRORE","OK")</f>
        <v/>
      </c>
      <c r="AN15" s="4">
        <f>IF(ABS(T15-AC15)&gt;Parametri!$C$11,"ERRORE","OK")</f>
        <v/>
      </c>
      <c r="AO15" s="4">
        <f>IF(ABS(W15-AE15)&gt;Parametri!$C$12,"ERRORE","OK")</f>
        <v/>
      </c>
      <c r="AP15" s="4">
        <f>IF(OR(ABS(N15-AF15)&gt;Parametri!$C$11,ABS(S15-AG15)&gt;Parametri!$C$11),"ERRORE","OK")</f>
        <v/>
      </c>
      <c r="AQ15" s="4">
        <f>IF(AI15="","OK",IF(AND(ABS(AI15)&gt;Parametri!$C$10,G15=""),"ERRORE","OK"))</f>
        <v/>
      </c>
      <c r="AR15" s="4">
        <f>IF(AND(LEN(C15)=16,RIGHT(C15,1)=AJ15),"OK","ERRORE")</f>
        <v/>
      </c>
      <c r="AS15" s="12">
        <f>COUNTIF(AK15:AR15,"ERRORE")</f>
        <v/>
      </c>
    </row>
    <row r="16">
      <c r="A16" s="15" t="inlineStr">
        <is>
          <t>A012</t>
        </is>
      </c>
      <c r="B16" s="15" t="inlineStr">
        <is>
          <t>A</t>
        </is>
      </c>
      <c r="C16" s="15" t="inlineStr">
        <is>
          <t>BZLSLV71P66Z113R</t>
        </is>
      </c>
      <c r="D16" s="15" t="inlineStr">
        <is>
          <t>7</t>
        </is>
      </c>
      <c r="E16" s="16" t="n">
        <v>39264</v>
      </c>
      <c r="F16" s="17" t="n">
        <v>1</v>
      </c>
      <c r="G16" s="15" t="inlineStr"/>
      <c r="H16" s="15" t="b">
        <v>1</v>
      </c>
      <c r="I16" s="17" t="n">
        <v>1395.89</v>
      </c>
      <c r="J16" s="15" t="n">
        <v>6</v>
      </c>
      <c r="K16" s="17" t="n">
        <v>116.82</v>
      </c>
      <c r="L16" s="17" t="n">
        <v>0</v>
      </c>
      <c r="M16" s="17" t="n">
        <v>0</v>
      </c>
      <c r="N16" s="17" t="n">
        <v>1512.71</v>
      </c>
      <c r="O16" s="17" t="n">
        <v>143.56</v>
      </c>
      <c r="P16" s="17" t="n">
        <v>1369.15</v>
      </c>
      <c r="Q16" s="17" t="n">
        <v>156.75</v>
      </c>
      <c r="R16" s="17" t="n">
        <v>20.54</v>
      </c>
      <c r="S16" s="17" t="n">
        <v>1191.86</v>
      </c>
      <c r="T16" s="17" t="n">
        <v>130.73</v>
      </c>
      <c r="U16" s="18" t="n">
        <v>2.1667</v>
      </c>
      <c r="V16" s="18" t="n">
        <v>0</v>
      </c>
      <c r="W16" s="18" t="n">
        <v>24.0777</v>
      </c>
      <c r="X16" s="19">
        <f>ROUND(INDEX(CCNL!$F$5:$F$12,MATCH(D16,CCNL!$A$5:$A$12,0))*F16,2)</f>
        <v/>
      </c>
      <c r="Y16" s="4">
        <f>(YEAR(Parametri!$C$5)*12+MONTH(Parametri!$C$5))-(YEAR(E16)*12+MONTH(E16))</f>
        <v/>
      </c>
      <c r="Z16" s="4">
        <f>MIN(Parametri!$C$13,MAX(0,INT((Y16-1)/36)))</f>
        <v/>
      </c>
      <c r="AA16" s="19">
        <f>ROUND(INDEX(CCNL!$I$5:$I$12,MATCH(D16,CCNL!$A$5:$A$12,0))*Z16*F16,2)</f>
        <v/>
      </c>
      <c r="AB16" s="19">
        <f>ROUND(N16*Parametri!$C$6,2)</f>
        <v/>
      </c>
      <c r="AC16" s="19">
        <f>ROUND((I16+K16+L16)*Parametri!$C$8/Parametri!$C$7/12,2)</f>
        <v/>
      </c>
      <c r="AD16" s="20">
        <f>IFERROR(INDEX(Agosto!$D$5:$D$173,MATCH(A16,Agosto!$A$5:$A$173,0)),0)</f>
        <v/>
      </c>
      <c r="AE16" s="21">
        <f>ROUND(AD16+ROUND(Parametri!$C$9/12,4)-V16,4)</f>
        <v/>
      </c>
      <c r="AF16" s="19">
        <f>ROUND(I16+K16+L16+M16,2)</f>
        <v/>
      </c>
      <c r="AG16" s="19">
        <f>ROUND(N16-O16-Q16-R16,2)</f>
        <v/>
      </c>
      <c r="AH16" s="22">
        <f>IFERROR(INDEX(Agosto!$C$5:$C$173,MATCH(A16,Agosto!$A$5:$A$173,0)),"")</f>
        <v/>
      </c>
      <c r="AI16" s="23">
        <f>IF(AH16="","",S16/AH16-1)</f>
        <v/>
      </c>
      <c r="AJ16" s="4">
        <f>CHAR(65+MOD(SUMPRODUCT(SUMIF('Codice fiscale'!$A$5:$A$40,MID(C16,{1,3,5,7,9,11,13,15},1),'Codice fiscale'!$B$5:$B$40))+SUMPRODUCT(SUMIF('Codice fiscale'!$A$5:$A$40,MID(C16,{2,4,6,8,10,12,14},1),'Codice fiscale'!$C$5:$C$40)),26))</f>
        <v/>
      </c>
      <c r="AK16" s="4">
        <f>IF(ABS(I16-X16)&gt;Parametri!$C$11,"ERRORE","OK")</f>
        <v/>
      </c>
      <c r="AL16" s="4">
        <f>IF(ABS(K16-AA16)&gt;Parametri!$C$11,"ERRORE","OK")</f>
        <v/>
      </c>
      <c r="AM16" s="4">
        <f>IF(ABS(O16-AB16)&gt;Parametri!$C$11,"ERRORE","OK")</f>
        <v/>
      </c>
      <c r="AN16" s="4">
        <f>IF(ABS(T16-AC16)&gt;Parametri!$C$11,"ERRORE","OK")</f>
        <v/>
      </c>
      <c r="AO16" s="4">
        <f>IF(ABS(W16-AE16)&gt;Parametri!$C$12,"ERRORE","OK")</f>
        <v/>
      </c>
      <c r="AP16" s="4">
        <f>IF(OR(ABS(N16-AF16)&gt;Parametri!$C$11,ABS(S16-AG16)&gt;Parametri!$C$11),"ERRORE","OK")</f>
        <v/>
      </c>
      <c r="AQ16" s="4">
        <f>IF(AI16="","OK",IF(AND(ABS(AI16)&gt;Parametri!$C$10,G16=""),"ERRORE","OK"))</f>
        <v/>
      </c>
      <c r="AR16" s="4">
        <f>IF(AND(LEN(C16)=16,RIGHT(C16,1)=AJ16),"OK","ERRORE")</f>
        <v/>
      </c>
      <c r="AS16" s="12">
        <f>COUNTIF(AK16:AR16,"ERRORE")</f>
        <v/>
      </c>
    </row>
    <row r="17">
      <c r="A17" s="15" t="inlineStr">
        <is>
          <t>A013</t>
        </is>
      </c>
      <c r="B17" s="15" t="inlineStr">
        <is>
          <t>A</t>
        </is>
      </c>
      <c r="C17" s="15" t="inlineStr">
        <is>
          <t>RPFMRL81M51Z334Y</t>
        </is>
      </c>
      <c r="D17" s="15" t="inlineStr">
        <is>
          <t>4</t>
        </is>
      </c>
      <c r="E17" s="16" t="n">
        <v>37848</v>
      </c>
      <c r="F17" s="17" t="n">
        <v>0.75</v>
      </c>
      <c r="G17" s="15" t="inlineStr"/>
      <c r="H17" s="15" t="b">
        <v>1</v>
      </c>
      <c r="I17" s="17" t="n">
        <v>1336.26</v>
      </c>
      <c r="J17" s="15" t="n">
        <v>7</v>
      </c>
      <c r="K17" s="17" t="n">
        <v>108.47</v>
      </c>
      <c r="L17" s="17" t="n">
        <v>0</v>
      </c>
      <c r="M17" s="17" t="n">
        <v>0</v>
      </c>
      <c r="N17" s="17" t="n">
        <v>1444.73</v>
      </c>
      <c r="O17" s="17" t="n">
        <v>132.77</v>
      </c>
      <c r="P17" s="17" t="n">
        <v>1311.96</v>
      </c>
      <c r="Q17" s="17" t="n">
        <v>141.31</v>
      </c>
      <c r="R17" s="17" t="n">
        <v>19.68</v>
      </c>
      <c r="S17" s="17" t="n">
        <v>1150.97</v>
      </c>
      <c r="T17" s="17" t="n">
        <v>124.85</v>
      </c>
      <c r="U17" s="18" t="n">
        <v>2.1667</v>
      </c>
      <c r="V17" s="18" t="n">
        <v>0</v>
      </c>
      <c r="W17" s="18" t="n">
        <v>11.5466</v>
      </c>
      <c r="X17" s="19">
        <f>ROUND(INDEX(CCNL!$F$5:$F$12,MATCH(D17,CCNL!$A$5:$A$12,0))*F17,2)</f>
        <v/>
      </c>
      <c r="Y17" s="4">
        <f>(YEAR(Parametri!$C$5)*12+MONTH(Parametri!$C$5))-(YEAR(E17)*12+MONTH(E17))</f>
        <v/>
      </c>
      <c r="Z17" s="4">
        <f>MIN(Parametri!$C$13,MAX(0,INT((Y17-1)/36)))</f>
        <v/>
      </c>
      <c r="AA17" s="19">
        <f>ROUND(INDEX(CCNL!$I$5:$I$12,MATCH(D17,CCNL!$A$5:$A$12,0))*Z17*F17,2)</f>
        <v/>
      </c>
      <c r="AB17" s="19">
        <f>ROUND(N17*Parametri!$C$6,2)</f>
        <v/>
      </c>
      <c r="AC17" s="19">
        <f>ROUND((I17+K17+L17)*Parametri!$C$8/Parametri!$C$7/12,2)</f>
        <v/>
      </c>
      <c r="AD17" s="20">
        <f>IFERROR(INDEX(Agosto!$D$5:$D$173,MATCH(A17,Agosto!$A$5:$A$173,0)),0)</f>
        <v/>
      </c>
      <c r="AE17" s="21">
        <f>ROUND(AD17+ROUND(Parametri!$C$9/12,4)-V17,4)</f>
        <v/>
      </c>
      <c r="AF17" s="19">
        <f>ROUND(I17+K17+L17+M17,2)</f>
        <v/>
      </c>
      <c r="AG17" s="19">
        <f>ROUND(N17-O17-Q17-R17,2)</f>
        <v/>
      </c>
      <c r="AH17" s="22">
        <f>IFERROR(INDEX(Agosto!$C$5:$C$173,MATCH(A17,Agosto!$A$5:$A$173,0)),"")</f>
        <v/>
      </c>
      <c r="AI17" s="23">
        <f>IF(AH17="","",S17/AH17-1)</f>
        <v/>
      </c>
      <c r="AJ17" s="4">
        <f>CHAR(65+MOD(SUMPRODUCT(SUMIF('Codice fiscale'!$A$5:$A$40,MID(C17,{1,3,5,7,9,11,13,15},1),'Codice fiscale'!$B$5:$B$40))+SUMPRODUCT(SUMIF('Codice fiscale'!$A$5:$A$40,MID(C17,{2,4,6,8,10,12,14},1),'Codice fiscale'!$C$5:$C$40)),26))</f>
        <v/>
      </c>
      <c r="AK17" s="4">
        <f>IF(ABS(I17-X17)&gt;Parametri!$C$11,"ERRORE","OK")</f>
        <v/>
      </c>
      <c r="AL17" s="4">
        <f>IF(ABS(K17-AA17)&gt;Parametri!$C$11,"ERRORE","OK")</f>
        <v/>
      </c>
      <c r="AM17" s="4">
        <f>IF(ABS(O17-AB17)&gt;Parametri!$C$11,"ERRORE","OK")</f>
        <v/>
      </c>
      <c r="AN17" s="4">
        <f>IF(ABS(T17-AC17)&gt;Parametri!$C$11,"ERRORE","OK")</f>
        <v/>
      </c>
      <c r="AO17" s="4">
        <f>IF(ABS(W17-AE17)&gt;Parametri!$C$12,"ERRORE","OK")</f>
        <v/>
      </c>
      <c r="AP17" s="4">
        <f>IF(OR(ABS(N17-AF17)&gt;Parametri!$C$11,ABS(S17-AG17)&gt;Parametri!$C$11),"ERRORE","OK")</f>
        <v/>
      </c>
      <c r="AQ17" s="4">
        <f>IF(AI17="","OK",IF(AND(ABS(AI17)&gt;Parametri!$C$10,G17=""),"ERRORE","OK"))</f>
        <v/>
      </c>
      <c r="AR17" s="4">
        <f>IF(AND(LEN(C17)=16,RIGHT(C17,1)=AJ17),"OK","ERRORE")</f>
        <v/>
      </c>
      <c r="AS17" s="12">
        <f>COUNTIF(AK17:AR17,"ERRORE")</f>
        <v/>
      </c>
    </row>
    <row r="18">
      <c r="A18" s="15" t="inlineStr">
        <is>
          <t>A014</t>
        </is>
      </c>
      <c r="B18" s="15" t="inlineStr">
        <is>
          <t>A</t>
        </is>
      </c>
      <c r="C18" s="15" t="inlineStr">
        <is>
          <t>ZBNZVS66P13Z196W</t>
        </is>
      </c>
      <c r="D18" s="15" t="inlineStr">
        <is>
          <t>6</t>
        </is>
      </c>
      <c r="E18" s="16" t="n">
        <v>35541</v>
      </c>
      <c r="F18" s="17" t="n">
        <v>1</v>
      </c>
      <c r="G18" s="15" t="inlineStr"/>
      <c r="H18" s="15" t="b">
        <v>1</v>
      </c>
      <c r="I18" s="17" t="n">
        <v>1539.7</v>
      </c>
      <c r="J18" s="15" t="n">
        <v>9</v>
      </c>
      <c r="K18" s="17" t="n">
        <v>177.57</v>
      </c>
      <c r="L18" s="17" t="n">
        <v>300</v>
      </c>
      <c r="M18" s="17" t="n">
        <v>0</v>
      </c>
      <c r="N18" s="17" t="n">
        <v>2017.27</v>
      </c>
      <c r="O18" s="17" t="n">
        <v>185.39</v>
      </c>
      <c r="P18" s="17" t="n">
        <v>1831.88</v>
      </c>
      <c r="Q18" s="17" t="n">
        <v>281.69</v>
      </c>
      <c r="R18" s="17" t="n">
        <v>27.48</v>
      </c>
      <c r="S18" s="17" t="n">
        <v>1522.71</v>
      </c>
      <c r="T18" s="17" t="n">
        <v>174.33</v>
      </c>
      <c r="U18" s="18" t="n">
        <v>2.1667</v>
      </c>
      <c r="V18" s="18" t="n">
        <v>1</v>
      </c>
      <c r="W18" s="18" t="n">
        <v>14.9368</v>
      </c>
      <c r="X18" s="19">
        <f>ROUND(INDEX(CCNL!$F$5:$F$12,MATCH(D18,CCNL!$A$5:$A$12,0))*F18,2)</f>
        <v/>
      </c>
      <c r="Y18" s="4">
        <f>(YEAR(Parametri!$C$5)*12+MONTH(Parametri!$C$5))-(YEAR(E18)*12+MONTH(E18))</f>
        <v/>
      </c>
      <c r="Z18" s="4">
        <f>MIN(Parametri!$C$13,MAX(0,INT((Y18-1)/36)))</f>
        <v/>
      </c>
      <c r="AA18" s="19">
        <f>ROUND(INDEX(CCNL!$I$5:$I$12,MATCH(D18,CCNL!$A$5:$A$12,0))*Z18*F18,2)</f>
        <v/>
      </c>
      <c r="AB18" s="19">
        <f>ROUND(N18*Parametri!$C$6,2)</f>
        <v/>
      </c>
      <c r="AC18" s="19">
        <f>ROUND((I18+K18+L18)*Parametri!$C$8/Parametri!$C$7/12,2)</f>
        <v/>
      </c>
      <c r="AD18" s="20">
        <f>IFERROR(INDEX(Agosto!$D$5:$D$173,MATCH(A18,Agosto!$A$5:$A$173,0)),0)</f>
        <v/>
      </c>
      <c r="AE18" s="21">
        <f>ROUND(AD18+ROUND(Parametri!$C$9/12,4)-V18,4)</f>
        <v/>
      </c>
      <c r="AF18" s="19">
        <f>ROUND(I18+K18+L18+M18,2)</f>
        <v/>
      </c>
      <c r="AG18" s="19">
        <f>ROUND(N18-O18-Q18-R18,2)</f>
        <v/>
      </c>
      <c r="AH18" s="22">
        <f>IFERROR(INDEX(Agosto!$C$5:$C$173,MATCH(A18,Agosto!$A$5:$A$173,0)),"")</f>
        <v/>
      </c>
      <c r="AI18" s="23">
        <f>IF(AH18="","",S18/AH18-1)</f>
        <v/>
      </c>
      <c r="AJ18" s="4">
        <f>CHAR(65+MOD(SUMPRODUCT(SUMIF('Codice fiscale'!$A$5:$A$40,MID(C18,{1,3,5,7,9,11,13,15},1),'Codice fiscale'!$B$5:$B$40))+SUMPRODUCT(SUMIF('Codice fiscale'!$A$5:$A$40,MID(C18,{2,4,6,8,10,12,14},1),'Codice fiscale'!$C$5:$C$40)),26))</f>
        <v/>
      </c>
      <c r="AK18" s="4">
        <f>IF(ABS(I18-X18)&gt;Parametri!$C$11,"ERRORE","OK")</f>
        <v/>
      </c>
      <c r="AL18" s="4">
        <f>IF(ABS(K18-AA18)&gt;Parametri!$C$11,"ERRORE","OK")</f>
        <v/>
      </c>
      <c r="AM18" s="4">
        <f>IF(ABS(O18-AB18)&gt;Parametri!$C$11,"ERRORE","OK")</f>
        <v/>
      </c>
      <c r="AN18" s="4">
        <f>IF(ABS(T18-AC18)&gt;Parametri!$C$11,"ERRORE","OK")</f>
        <v/>
      </c>
      <c r="AO18" s="4">
        <f>IF(ABS(W18-AE18)&gt;Parametri!$C$12,"ERRORE","OK")</f>
        <v/>
      </c>
      <c r="AP18" s="4">
        <f>IF(OR(ABS(N18-AF18)&gt;Parametri!$C$11,ABS(S18-AG18)&gt;Parametri!$C$11),"ERRORE","OK")</f>
        <v/>
      </c>
      <c r="AQ18" s="4">
        <f>IF(AI18="","OK",IF(AND(ABS(AI18)&gt;Parametri!$C$10,G18=""),"ERRORE","OK"))</f>
        <v/>
      </c>
      <c r="AR18" s="4">
        <f>IF(AND(LEN(C18)=16,RIGHT(C18,1)=AJ18),"OK","ERRORE")</f>
        <v/>
      </c>
      <c r="AS18" s="12">
        <f>COUNTIF(AK18:AR18,"ERRORE")</f>
        <v/>
      </c>
    </row>
    <row r="19">
      <c r="A19" s="15" t="inlineStr">
        <is>
          <t>A015</t>
        </is>
      </c>
      <c r="B19" s="15" t="inlineStr">
        <is>
          <t>A</t>
        </is>
      </c>
      <c r="C19" s="15" t="inlineStr">
        <is>
          <t>GMPMZC63C21Z296Q</t>
        </is>
      </c>
      <c r="D19" s="15" t="inlineStr">
        <is>
          <t>3</t>
        </is>
      </c>
      <c r="E19" s="16" t="n">
        <v>39696</v>
      </c>
      <c r="F19" s="17" t="n">
        <v>0.75</v>
      </c>
      <c r="G19" s="15" t="inlineStr"/>
      <c r="H19" s="15" t="b">
        <v>1</v>
      </c>
      <c r="I19" s="17" t="n">
        <v>1486.38</v>
      </c>
      <c r="J19" s="15" t="n">
        <v>5</v>
      </c>
      <c r="K19" s="17" t="n">
        <v>82.31</v>
      </c>
      <c r="L19" s="17" t="n">
        <v>112.5</v>
      </c>
      <c r="M19" s="17" t="n">
        <v>0</v>
      </c>
      <c r="N19" s="17" t="n">
        <v>1681.19</v>
      </c>
      <c r="O19" s="17" t="n">
        <v>154.5</v>
      </c>
      <c r="P19" s="17" t="n">
        <v>1526.69</v>
      </c>
      <c r="Q19" s="17" t="n">
        <v>199.29</v>
      </c>
      <c r="R19" s="17" t="n">
        <v>22.9</v>
      </c>
      <c r="S19" s="17" t="n">
        <v>1304.5</v>
      </c>
      <c r="T19" s="17" t="n">
        <v>145.29</v>
      </c>
      <c r="U19" s="18" t="n">
        <v>2.1667</v>
      </c>
      <c r="V19" s="18" t="n">
        <v>0</v>
      </c>
      <c r="W19" s="18" t="n">
        <v>29.6064</v>
      </c>
      <c r="X19" s="19">
        <f>ROUND(INDEX(CCNL!$F$5:$F$12,MATCH(D19,CCNL!$A$5:$A$12,0))*F19,2)</f>
        <v/>
      </c>
      <c r="Y19" s="4">
        <f>(YEAR(Parametri!$C$5)*12+MONTH(Parametri!$C$5))-(YEAR(E19)*12+MONTH(E19))</f>
        <v/>
      </c>
      <c r="Z19" s="4">
        <f>MIN(Parametri!$C$13,MAX(0,INT((Y19-1)/36)))</f>
        <v/>
      </c>
      <c r="AA19" s="19">
        <f>ROUND(INDEX(CCNL!$I$5:$I$12,MATCH(D19,CCNL!$A$5:$A$12,0))*Z19*F19,2)</f>
        <v/>
      </c>
      <c r="AB19" s="19">
        <f>ROUND(N19*Parametri!$C$6,2)</f>
        <v/>
      </c>
      <c r="AC19" s="19">
        <f>ROUND((I19+K19+L19)*Parametri!$C$8/Parametri!$C$7/12,2)</f>
        <v/>
      </c>
      <c r="AD19" s="20">
        <f>IFERROR(INDEX(Agosto!$D$5:$D$173,MATCH(A19,Agosto!$A$5:$A$173,0)),0)</f>
        <v/>
      </c>
      <c r="AE19" s="21">
        <f>ROUND(AD19+ROUND(Parametri!$C$9/12,4)-V19,4)</f>
        <v/>
      </c>
      <c r="AF19" s="19">
        <f>ROUND(I19+K19+L19+M19,2)</f>
        <v/>
      </c>
      <c r="AG19" s="19">
        <f>ROUND(N19-O19-Q19-R19,2)</f>
        <v/>
      </c>
      <c r="AH19" s="22">
        <f>IFERROR(INDEX(Agosto!$C$5:$C$173,MATCH(A19,Agosto!$A$5:$A$173,0)),"")</f>
        <v/>
      </c>
      <c r="AI19" s="23">
        <f>IF(AH19="","",S19/AH19-1)</f>
        <v/>
      </c>
      <c r="AJ19" s="4">
        <f>CHAR(65+MOD(SUMPRODUCT(SUMIF('Codice fiscale'!$A$5:$A$40,MID(C19,{1,3,5,7,9,11,13,15},1),'Codice fiscale'!$B$5:$B$40))+SUMPRODUCT(SUMIF('Codice fiscale'!$A$5:$A$40,MID(C19,{2,4,6,8,10,12,14},1),'Codice fiscale'!$C$5:$C$40)),26))</f>
        <v/>
      </c>
      <c r="AK19" s="4">
        <f>IF(ABS(I19-X19)&gt;Parametri!$C$11,"ERRORE","OK")</f>
        <v/>
      </c>
      <c r="AL19" s="4">
        <f>IF(ABS(K19-AA19)&gt;Parametri!$C$11,"ERRORE","OK")</f>
        <v/>
      </c>
      <c r="AM19" s="4">
        <f>IF(ABS(O19-AB19)&gt;Parametri!$C$11,"ERRORE","OK")</f>
        <v/>
      </c>
      <c r="AN19" s="4">
        <f>IF(ABS(T19-AC19)&gt;Parametri!$C$11,"ERRORE","OK")</f>
        <v/>
      </c>
      <c r="AO19" s="4">
        <f>IF(ABS(W19-AE19)&gt;Parametri!$C$12,"ERRORE","OK")</f>
        <v/>
      </c>
      <c r="AP19" s="4">
        <f>IF(OR(ABS(N19-AF19)&gt;Parametri!$C$11,ABS(S19-AG19)&gt;Parametri!$C$11),"ERRORE","OK")</f>
        <v/>
      </c>
      <c r="AQ19" s="4">
        <f>IF(AI19="","OK",IF(AND(ABS(AI19)&gt;Parametri!$C$10,G19=""),"ERRORE","OK"))</f>
        <v/>
      </c>
      <c r="AR19" s="4">
        <f>IF(AND(LEN(C19)=16,RIGHT(C19,1)=AJ19),"OK","ERRORE")</f>
        <v/>
      </c>
      <c r="AS19" s="12">
        <f>COUNTIF(AK19:AR19,"ERRORE")</f>
        <v/>
      </c>
    </row>
    <row r="20">
      <c r="A20" s="15" t="inlineStr">
        <is>
          <t>A016</t>
        </is>
      </c>
      <c r="B20" s="15" t="inlineStr">
        <is>
          <t>A</t>
        </is>
      </c>
      <c r="C20" s="15" t="inlineStr">
        <is>
          <t>NCPVPV78M56Z240M</t>
        </is>
      </c>
      <c r="D20" s="15" t="inlineStr">
        <is>
          <t>4</t>
        </is>
      </c>
      <c r="E20" s="16" t="n">
        <v>42972</v>
      </c>
      <c r="F20" s="17" t="n">
        <v>1</v>
      </c>
      <c r="G20" s="15" t="inlineStr"/>
      <c r="H20" s="15" t="b">
        <v>0</v>
      </c>
      <c r="I20" s="17" t="n">
        <v>1781.68</v>
      </c>
      <c r="J20" s="15" t="n">
        <v>2</v>
      </c>
      <c r="K20" s="17" t="n">
        <v>41.32</v>
      </c>
      <c r="L20" s="17" t="n">
        <v>200</v>
      </c>
      <c r="M20" s="17" t="n">
        <v>0</v>
      </c>
      <c r="N20" s="17" t="n">
        <v>2023</v>
      </c>
      <c r="O20" s="17" t="n">
        <v>185.91</v>
      </c>
      <c r="P20" s="17" t="n">
        <v>1837.09</v>
      </c>
      <c r="Q20" s="17" t="n">
        <v>283.1</v>
      </c>
      <c r="R20" s="17" t="n">
        <v>27.56</v>
      </c>
      <c r="S20" s="17" t="n">
        <v>1526.43</v>
      </c>
      <c r="T20" s="17" t="n">
        <v>174.83</v>
      </c>
      <c r="U20" s="18" t="n">
        <v>2.1667</v>
      </c>
      <c r="V20" s="18" t="n">
        <v>0</v>
      </c>
      <c r="W20" s="18" t="n">
        <v>18.0825</v>
      </c>
      <c r="X20" s="19">
        <f>ROUND(INDEX(CCNL!$F$5:$F$12,MATCH(D20,CCNL!$A$5:$A$12,0))*F20,2)</f>
        <v/>
      </c>
      <c r="Y20" s="4">
        <f>(YEAR(Parametri!$C$5)*12+MONTH(Parametri!$C$5))-(YEAR(E20)*12+MONTH(E20))</f>
        <v/>
      </c>
      <c r="Z20" s="4">
        <f>MIN(Parametri!$C$13,MAX(0,INT((Y20-1)/36)))</f>
        <v/>
      </c>
      <c r="AA20" s="19">
        <f>ROUND(INDEX(CCNL!$I$5:$I$12,MATCH(D20,CCNL!$A$5:$A$12,0))*Z20*F20,2)</f>
        <v/>
      </c>
      <c r="AB20" s="19">
        <f>ROUND(N20*Parametri!$C$6,2)</f>
        <v/>
      </c>
      <c r="AC20" s="19">
        <f>ROUND((I20+K20+L20)*Parametri!$C$8/Parametri!$C$7/12,2)</f>
        <v/>
      </c>
      <c r="AD20" s="20">
        <f>IFERROR(INDEX(Agosto!$D$5:$D$173,MATCH(A20,Agosto!$A$5:$A$173,0)),0)</f>
        <v/>
      </c>
      <c r="AE20" s="21">
        <f>ROUND(AD20+ROUND(Parametri!$C$9/12,4)-V20,4)</f>
        <v/>
      </c>
      <c r="AF20" s="19">
        <f>ROUND(I20+K20+L20+M20,2)</f>
        <v/>
      </c>
      <c r="AG20" s="19">
        <f>ROUND(N20-O20-Q20-R20,2)</f>
        <v/>
      </c>
      <c r="AH20" s="22">
        <f>IFERROR(INDEX(Agosto!$C$5:$C$173,MATCH(A20,Agosto!$A$5:$A$173,0)),"")</f>
        <v/>
      </c>
      <c r="AI20" s="23">
        <f>IF(AH20="","",S20/AH20-1)</f>
        <v/>
      </c>
      <c r="AJ20" s="4">
        <f>CHAR(65+MOD(SUMPRODUCT(SUMIF('Codice fiscale'!$A$5:$A$40,MID(C20,{1,3,5,7,9,11,13,15},1),'Codice fiscale'!$B$5:$B$40))+SUMPRODUCT(SUMIF('Codice fiscale'!$A$5:$A$40,MID(C20,{2,4,6,8,10,12,14},1),'Codice fiscale'!$C$5:$C$40)),26))</f>
        <v/>
      </c>
      <c r="AK20" s="4">
        <f>IF(ABS(I20-X20)&gt;Parametri!$C$11,"ERRORE","OK")</f>
        <v/>
      </c>
      <c r="AL20" s="4">
        <f>IF(ABS(K20-AA20)&gt;Parametri!$C$11,"ERRORE","OK")</f>
        <v/>
      </c>
      <c r="AM20" s="4">
        <f>IF(ABS(O20-AB20)&gt;Parametri!$C$11,"ERRORE","OK")</f>
        <v/>
      </c>
      <c r="AN20" s="4">
        <f>IF(ABS(T20-AC20)&gt;Parametri!$C$11,"ERRORE","OK")</f>
        <v/>
      </c>
      <c r="AO20" s="4">
        <f>IF(ABS(W20-AE20)&gt;Parametri!$C$12,"ERRORE","OK")</f>
        <v/>
      </c>
      <c r="AP20" s="4">
        <f>IF(OR(ABS(N20-AF20)&gt;Parametri!$C$11,ABS(S20-AG20)&gt;Parametri!$C$11),"ERRORE","OK")</f>
        <v/>
      </c>
      <c r="AQ20" s="4">
        <f>IF(AI20="","OK",IF(AND(ABS(AI20)&gt;Parametri!$C$10,G20=""),"ERRORE","OK"))</f>
        <v/>
      </c>
      <c r="AR20" s="4">
        <f>IF(AND(LEN(C20)=16,RIGHT(C20,1)=AJ20),"OK","ERRORE")</f>
        <v/>
      </c>
      <c r="AS20" s="12">
        <f>COUNTIF(AK20:AR20,"ERRORE")</f>
        <v/>
      </c>
    </row>
    <row r="21">
      <c r="A21" s="15" t="inlineStr">
        <is>
          <t>A017</t>
        </is>
      </c>
      <c r="B21" s="15" t="inlineStr">
        <is>
          <t>A</t>
        </is>
      </c>
      <c r="C21" s="15" t="inlineStr">
        <is>
          <t>BLZDLP76A03Z393F</t>
        </is>
      </c>
      <c r="D21" s="15" t="inlineStr">
        <is>
          <t>4</t>
        </is>
      </c>
      <c r="E21" s="16" t="n">
        <v>45607</v>
      </c>
      <c r="F21" s="17" t="n">
        <v>0.75</v>
      </c>
      <c r="G21" s="15" t="inlineStr"/>
      <c r="H21" s="15" t="b">
        <v>0</v>
      </c>
      <c r="I21" s="17" t="n">
        <v>1336.26</v>
      </c>
      <c r="J21" s="15" t="n">
        <v>0</v>
      </c>
      <c r="K21" s="17" t="n">
        <v>0</v>
      </c>
      <c r="L21" s="17" t="n">
        <v>0</v>
      </c>
      <c r="M21" s="17" t="n">
        <v>0</v>
      </c>
      <c r="N21" s="17" t="n">
        <v>1336.26</v>
      </c>
      <c r="O21" s="17" t="n">
        <v>122.8</v>
      </c>
      <c r="P21" s="17" t="n">
        <v>1213.46</v>
      </c>
      <c r="Q21" s="17" t="n">
        <v>116.18</v>
      </c>
      <c r="R21" s="17" t="n">
        <v>18.2</v>
      </c>
      <c r="S21" s="17" t="n">
        <v>1079.08</v>
      </c>
      <c r="T21" s="17" t="n">
        <v>115.48</v>
      </c>
      <c r="U21" s="18" t="n">
        <v>2.1667</v>
      </c>
      <c r="V21" s="18" t="n">
        <v>0</v>
      </c>
      <c r="W21" s="18" t="n">
        <v>27.6126</v>
      </c>
      <c r="X21" s="19">
        <f>ROUND(INDEX(CCNL!$F$5:$F$12,MATCH(D21,CCNL!$A$5:$A$12,0))*F21,2)</f>
        <v/>
      </c>
      <c r="Y21" s="4">
        <f>(YEAR(Parametri!$C$5)*12+MONTH(Parametri!$C$5))-(YEAR(E21)*12+MONTH(E21))</f>
        <v/>
      </c>
      <c r="Z21" s="4">
        <f>MIN(Parametri!$C$13,MAX(0,INT((Y21-1)/36)))</f>
        <v/>
      </c>
      <c r="AA21" s="19">
        <f>ROUND(INDEX(CCNL!$I$5:$I$12,MATCH(D21,CCNL!$A$5:$A$12,0))*Z21*F21,2)</f>
        <v/>
      </c>
      <c r="AB21" s="19">
        <f>ROUND(N21*Parametri!$C$6,2)</f>
        <v/>
      </c>
      <c r="AC21" s="19">
        <f>ROUND((I21+K21+L21)*Parametri!$C$8/Parametri!$C$7/12,2)</f>
        <v/>
      </c>
      <c r="AD21" s="20">
        <f>IFERROR(INDEX(Agosto!$D$5:$D$173,MATCH(A21,Agosto!$A$5:$A$173,0)),0)</f>
        <v/>
      </c>
      <c r="AE21" s="21">
        <f>ROUND(AD21+ROUND(Parametri!$C$9/12,4)-V21,4)</f>
        <v/>
      </c>
      <c r="AF21" s="19">
        <f>ROUND(I21+K21+L21+M21,2)</f>
        <v/>
      </c>
      <c r="AG21" s="19">
        <f>ROUND(N21-O21-Q21-R21,2)</f>
        <v/>
      </c>
      <c r="AH21" s="22">
        <f>IFERROR(INDEX(Agosto!$C$5:$C$173,MATCH(A21,Agosto!$A$5:$A$173,0)),"")</f>
        <v/>
      </c>
      <c r="AI21" s="23">
        <f>IF(AH21="","",S21/AH21-1)</f>
        <v/>
      </c>
      <c r="AJ21" s="4">
        <f>CHAR(65+MOD(SUMPRODUCT(SUMIF('Codice fiscale'!$A$5:$A$40,MID(C21,{1,3,5,7,9,11,13,15},1),'Codice fiscale'!$B$5:$B$40))+SUMPRODUCT(SUMIF('Codice fiscale'!$A$5:$A$40,MID(C21,{2,4,6,8,10,12,14},1),'Codice fiscale'!$C$5:$C$40)),26))</f>
        <v/>
      </c>
      <c r="AK21" s="4">
        <f>IF(ABS(I21-X21)&gt;Parametri!$C$11,"ERRORE","OK")</f>
        <v/>
      </c>
      <c r="AL21" s="4">
        <f>IF(ABS(K21-AA21)&gt;Parametri!$C$11,"ERRORE","OK")</f>
        <v/>
      </c>
      <c r="AM21" s="4">
        <f>IF(ABS(O21-AB21)&gt;Parametri!$C$11,"ERRORE","OK")</f>
        <v/>
      </c>
      <c r="AN21" s="4">
        <f>IF(ABS(T21-AC21)&gt;Parametri!$C$11,"ERRORE","OK")</f>
        <v/>
      </c>
      <c r="AO21" s="4">
        <f>IF(ABS(W21-AE21)&gt;Parametri!$C$12,"ERRORE","OK")</f>
        <v/>
      </c>
      <c r="AP21" s="4">
        <f>IF(OR(ABS(N21-AF21)&gt;Parametri!$C$11,ABS(S21-AG21)&gt;Parametri!$C$11),"ERRORE","OK")</f>
        <v/>
      </c>
      <c r="AQ21" s="4">
        <f>IF(AI21="","OK",IF(AND(ABS(AI21)&gt;Parametri!$C$10,G21=""),"ERRORE","OK"))</f>
        <v/>
      </c>
      <c r="AR21" s="4">
        <f>IF(AND(LEN(C21)=16,RIGHT(C21,1)=AJ21),"OK","ERRORE")</f>
        <v/>
      </c>
      <c r="AS21" s="12">
        <f>COUNTIF(AK21:AR21,"ERRORE")</f>
        <v/>
      </c>
    </row>
    <row r="22">
      <c r="A22" s="15" t="inlineStr">
        <is>
          <t>A018</t>
        </is>
      </c>
      <c r="B22" s="15" t="inlineStr">
        <is>
          <t>A</t>
        </is>
      </c>
      <c r="C22" s="15" t="inlineStr">
        <is>
          <t>SPDCVG01T49Z149N</t>
        </is>
      </c>
      <c r="D22" s="15" t="inlineStr">
        <is>
          <t>3</t>
        </is>
      </c>
      <c r="E22" s="16" t="n">
        <v>45589</v>
      </c>
      <c r="F22" s="17" t="n">
        <v>1</v>
      </c>
      <c r="G22" s="15" t="inlineStr"/>
      <c r="H22" s="15" t="b">
        <v>0</v>
      </c>
      <c r="I22" s="17" t="n">
        <v>1981.84</v>
      </c>
      <c r="J22" s="15" t="n">
        <v>0</v>
      </c>
      <c r="K22" s="17" t="n">
        <v>0</v>
      </c>
      <c r="L22" s="17" t="n">
        <v>80</v>
      </c>
      <c r="M22" s="17" t="n">
        <v>0</v>
      </c>
      <c r="N22" s="17" t="n">
        <v>2061.84</v>
      </c>
      <c r="O22" s="17" t="n">
        <v>189.48</v>
      </c>
      <c r="P22" s="17" t="n">
        <v>1872.36</v>
      </c>
      <c r="Q22" s="17" t="n">
        <v>292.62</v>
      </c>
      <c r="R22" s="17" t="n">
        <v>28.09</v>
      </c>
      <c r="S22" s="17" t="n">
        <v>1551.65</v>
      </c>
      <c r="T22" s="17" t="n">
        <v>178.18</v>
      </c>
      <c r="U22" s="18" t="n">
        <v>2.1667</v>
      </c>
      <c r="V22" s="18" t="n">
        <v>2</v>
      </c>
      <c r="W22" s="18" t="n">
        <v>12.483</v>
      </c>
      <c r="X22" s="19">
        <f>ROUND(INDEX(CCNL!$F$5:$F$12,MATCH(D22,CCNL!$A$5:$A$12,0))*F22,2)</f>
        <v/>
      </c>
      <c r="Y22" s="4">
        <f>(YEAR(Parametri!$C$5)*12+MONTH(Parametri!$C$5))-(YEAR(E22)*12+MONTH(E22))</f>
        <v/>
      </c>
      <c r="Z22" s="4">
        <f>MIN(Parametri!$C$13,MAX(0,INT((Y22-1)/36)))</f>
        <v/>
      </c>
      <c r="AA22" s="19">
        <f>ROUND(INDEX(CCNL!$I$5:$I$12,MATCH(D22,CCNL!$A$5:$A$12,0))*Z22*F22,2)</f>
        <v/>
      </c>
      <c r="AB22" s="19">
        <f>ROUND(N22*Parametri!$C$6,2)</f>
        <v/>
      </c>
      <c r="AC22" s="19">
        <f>ROUND((I22+K22+L22)*Parametri!$C$8/Parametri!$C$7/12,2)</f>
        <v/>
      </c>
      <c r="AD22" s="20">
        <f>IFERROR(INDEX(Agosto!$D$5:$D$173,MATCH(A22,Agosto!$A$5:$A$173,0)),0)</f>
        <v/>
      </c>
      <c r="AE22" s="21">
        <f>ROUND(AD22+ROUND(Parametri!$C$9/12,4)-V22,4)</f>
        <v/>
      </c>
      <c r="AF22" s="19">
        <f>ROUND(I22+K22+L22+M22,2)</f>
        <v/>
      </c>
      <c r="AG22" s="19">
        <f>ROUND(N22-O22-Q22-R22,2)</f>
        <v/>
      </c>
      <c r="AH22" s="22">
        <f>IFERROR(INDEX(Agosto!$C$5:$C$173,MATCH(A22,Agosto!$A$5:$A$173,0)),"")</f>
        <v/>
      </c>
      <c r="AI22" s="23">
        <f>IF(AH22="","",S22/AH22-1)</f>
        <v/>
      </c>
      <c r="AJ22" s="4">
        <f>CHAR(65+MOD(SUMPRODUCT(SUMIF('Codice fiscale'!$A$5:$A$40,MID(C22,{1,3,5,7,9,11,13,15},1),'Codice fiscale'!$B$5:$B$40))+SUMPRODUCT(SUMIF('Codice fiscale'!$A$5:$A$40,MID(C22,{2,4,6,8,10,12,14},1),'Codice fiscale'!$C$5:$C$40)),26))</f>
        <v/>
      </c>
      <c r="AK22" s="4">
        <f>IF(ABS(I22-X22)&gt;Parametri!$C$11,"ERRORE","OK")</f>
        <v/>
      </c>
      <c r="AL22" s="4">
        <f>IF(ABS(K22-AA22)&gt;Parametri!$C$11,"ERRORE","OK")</f>
        <v/>
      </c>
      <c r="AM22" s="4">
        <f>IF(ABS(O22-AB22)&gt;Parametri!$C$11,"ERRORE","OK")</f>
        <v/>
      </c>
      <c r="AN22" s="4">
        <f>IF(ABS(T22-AC22)&gt;Parametri!$C$11,"ERRORE","OK")</f>
        <v/>
      </c>
      <c r="AO22" s="4">
        <f>IF(ABS(W22-AE22)&gt;Parametri!$C$12,"ERRORE","OK")</f>
        <v/>
      </c>
      <c r="AP22" s="4">
        <f>IF(OR(ABS(N22-AF22)&gt;Parametri!$C$11,ABS(S22-AG22)&gt;Parametri!$C$11),"ERRORE","OK")</f>
        <v/>
      </c>
      <c r="AQ22" s="4">
        <f>IF(AI22="","OK",IF(AND(ABS(AI22)&gt;Parametri!$C$10,G22=""),"ERRORE","OK"))</f>
        <v/>
      </c>
      <c r="AR22" s="4">
        <f>IF(AND(LEN(C22)=16,RIGHT(C22,1)=AJ22),"OK","ERRORE")</f>
        <v/>
      </c>
      <c r="AS22" s="12">
        <f>COUNTIF(AK22:AR22,"ERRORE")</f>
        <v/>
      </c>
    </row>
    <row r="23">
      <c r="A23" s="15" t="inlineStr">
        <is>
          <t>B019</t>
        </is>
      </c>
      <c r="B23" s="15" t="inlineStr">
        <is>
          <t>B</t>
        </is>
      </c>
      <c r="C23" s="15" t="inlineStr">
        <is>
          <t>GLDGGC65H64Z107U</t>
        </is>
      </c>
      <c r="D23" s="15" t="inlineStr">
        <is>
          <t>2</t>
        </is>
      </c>
      <c r="E23" s="16" t="n">
        <v>39042</v>
      </c>
      <c r="F23" s="17" t="n">
        <v>1</v>
      </c>
      <c r="G23" s="15" t="inlineStr"/>
      <c r="H23" s="15" t="b">
        <v>1</v>
      </c>
      <c r="I23" s="17" t="n">
        <v>2233.6</v>
      </c>
      <c r="J23" s="15" t="n">
        <v>6</v>
      </c>
      <c r="K23" s="17" t="n">
        <v>136.98</v>
      </c>
      <c r="L23" s="17" t="n">
        <v>0</v>
      </c>
      <c r="M23" s="17" t="n">
        <v>0</v>
      </c>
      <c r="N23" s="17" t="n">
        <v>2370.58</v>
      </c>
      <c r="O23" s="17" t="n">
        <v>217.86</v>
      </c>
      <c r="P23" s="17" t="n">
        <v>2152.72</v>
      </c>
      <c r="Q23" s="17" t="n">
        <v>368.32</v>
      </c>
      <c r="R23" s="17" t="n">
        <v>32.29</v>
      </c>
      <c r="S23" s="17" t="n">
        <v>1752.11</v>
      </c>
      <c r="T23" s="17" t="n">
        <v>204.86</v>
      </c>
      <c r="U23" s="18" t="n">
        <v>2.1667</v>
      </c>
      <c r="V23" s="18" t="n">
        <v>0</v>
      </c>
      <c r="W23" s="18" t="n">
        <v>22.2797</v>
      </c>
      <c r="X23" s="19">
        <f>ROUND(INDEX(CCNL!$F$5:$F$12,MATCH(D23,CCNL!$A$5:$A$12,0))*F23,2)</f>
        <v/>
      </c>
      <c r="Y23" s="4">
        <f>(YEAR(Parametri!$C$5)*12+MONTH(Parametri!$C$5))-(YEAR(E23)*12+MONTH(E23))</f>
        <v/>
      </c>
      <c r="Z23" s="4">
        <f>MIN(Parametri!$C$13,MAX(0,INT((Y23-1)/36)))</f>
        <v/>
      </c>
      <c r="AA23" s="19">
        <f>ROUND(INDEX(CCNL!$I$5:$I$12,MATCH(D23,CCNL!$A$5:$A$12,0))*Z23*F23,2)</f>
        <v/>
      </c>
      <c r="AB23" s="19">
        <f>ROUND(N23*Parametri!$C$6,2)</f>
        <v/>
      </c>
      <c r="AC23" s="19">
        <f>ROUND((I23+K23+L23)*Parametri!$C$8/Parametri!$C$7/12,2)</f>
        <v/>
      </c>
      <c r="AD23" s="20">
        <f>IFERROR(INDEX(Agosto!$D$5:$D$173,MATCH(A23,Agosto!$A$5:$A$173,0)),0)</f>
        <v/>
      </c>
      <c r="AE23" s="21">
        <f>ROUND(AD23+ROUND(Parametri!$C$9/12,4)-V23,4)</f>
        <v/>
      </c>
      <c r="AF23" s="19">
        <f>ROUND(I23+K23+L23+M23,2)</f>
        <v/>
      </c>
      <c r="AG23" s="19">
        <f>ROUND(N23-O23-Q23-R23,2)</f>
        <v/>
      </c>
      <c r="AH23" s="22">
        <f>IFERROR(INDEX(Agosto!$C$5:$C$173,MATCH(A23,Agosto!$A$5:$A$173,0)),"")</f>
        <v/>
      </c>
      <c r="AI23" s="23">
        <f>IF(AH23="","",S23/AH23-1)</f>
        <v/>
      </c>
      <c r="AJ23" s="4">
        <f>CHAR(65+MOD(SUMPRODUCT(SUMIF('Codice fiscale'!$A$5:$A$40,MID(C23,{1,3,5,7,9,11,13,15},1),'Codice fiscale'!$B$5:$B$40))+SUMPRODUCT(SUMIF('Codice fiscale'!$A$5:$A$40,MID(C23,{2,4,6,8,10,12,14},1),'Codice fiscale'!$C$5:$C$40)),26))</f>
        <v/>
      </c>
      <c r="AK23" s="4">
        <f>IF(ABS(I23-X23)&gt;Parametri!$C$11,"ERRORE","OK")</f>
        <v/>
      </c>
      <c r="AL23" s="4">
        <f>IF(ABS(K23-AA23)&gt;Parametri!$C$11,"ERRORE","OK")</f>
        <v/>
      </c>
      <c r="AM23" s="4">
        <f>IF(ABS(O23-AB23)&gt;Parametri!$C$11,"ERRORE","OK")</f>
        <v/>
      </c>
      <c r="AN23" s="4">
        <f>IF(ABS(T23-AC23)&gt;Parametri!$C$11,"ERRORE","OK")</f>
        <v/>
      </c>
      <c r="AO23" s="4">
        <f>IF(ABS(W23-AE23)&gt;Parametri!$C$12,"ERRORE","OK")</f>
        <v/>
      </c>
      <c r="AP23" s="4">
        <f>IF(OR(ABS(N23-AF23)&gt;Parametri!$C$11,ABS(S23-AG23)&gt;Parametri!$C$11),"ERRORE","OK")</f>
        <v/>
      </c>
      <c r="AQ23" s="4">
        <f>IF(AI23="","OK",IF(AND(ABS(AI23)&gt;Parametri!$C$10,G23=""),"ERRORE","OK"))</f>
        <v/>
      </c>
      <c r="AR23" s="4">
        <f>IF(AND(LEN(C23)=16,RIGHT(C23,1)=AJ23),"OK","ERRORE")</f>
        <v/>
      </c>
      <c r="AS23" s="12">
        <f>COUNTIF(AK23:AR23,"ERRORE")</f>
        <v/>
      </c>
    </row>
    <row r="24">
      <c r="A24" s="15" t="inlineStr">
        <is>
          <t>B020</t>
        </is>
      </c>
      <c r="B24" s="15" t="inlineStr">
        <is>
          <t>B</t>
        </is>
      </c>
      <c r="C24" s="15" t="inlineStr">
        <is>
          <t>CSPRZL78L01Z261M</t>
        </is>
      </c>
      <c r="D24" s="15" t="inlineStr">
        <is>
          <t>1</t>
        </is>
      </c>
      <c r="E24" s="16" t="n">
        <v>35834</v>
      </c>
      <c r="F24" s="17" t="n">
        <v>1</v>
      </c>
      <c r="G24" s="15" t="inlineStr"/>
      <c r="H24" s="15" t="b">
        <v>0</v>
      </c>
      <c r="I24" s="17" t="n">
        <v>2504.07</v>
      </c>
      <c r="J24" s="15" t="n">
        <v>9</v>
      </c>
      <c r="K24" s="17" t="n">
        <v>223.56</v>
      </c>
      <c r="L24" s="17" t="n">
        <v>0</v>
      </c>
      <c r="M24" s="17" t="n">
        <v>0</v>
      </c>
      <c r="N24" s="17" t="n">
        <v>2727.63</v>
      </c>
      <c r="O24" s="17" t="n">
        <v>250.67</v>
      </c>
      <c r="P24" s="17" t="n">
        <v>2476.96</v>
      </c>
      <c r="Q24" s="17" t="n">
        <v>470.23</v>
      </c>
      <c r="R24" s="17" t="n">
        <v>37.15</v>
      </c>
      <c r="S24" s="17" t="n">
        <v>1969.58</v>
      </c>
      <c r="T24" s="17" t="n">
        <v>235.72</v>
      </c>
      <c r="U24" s="18" t="n">
        <v>2.1667</v>
      </c>
      <c r="V24" s="18" t="n">
        <v>1</v>
      </c>
      <c r="W24" s="18" t="n">
        <v>9.134</v>
      </c>
      <c r="X24" s="19">
        <f>ROUND(INDEX(CCNL!$F$5:$F$12,MATCH(D24,CCNL!$A$5:$A$12,0))*F24,2)</f>
        <v/>
      </c>
      <c r="Y24" s="4">
        <f>(YEAR(Parametri!$C$5)*12+MONTH(Parametri!$C$5))-(YEAR(E24)*12+MONTH(E24))</f>
        <v/>
      </c>
      <c r="Z24" s="4">
        <f>MIN(Parametri!$C$13,MAX(0,INT((Y24-1)/36)))</f>
        <v/>
      </c>
      <c r="AA24" s="19">
        <f>ROUND(INDEX(CCNL!$I$5:$I$12,MATCH(D24,CCNL!$A$5:$A$12,0))*Z24*F24,2)</f>
        <v/>
      </c>
      <c r="AB24" s="19">
        <f>ROUND(N24*Parametri!$C$6,2)</f>
        <v/>
      </c>
      <c r="AC24" s="19">
        <f>ROUND((I24+K24+L24)*Parametri!$C$8/Parametri!$C$7/12,2)</f>
        <v/>
      </c>
      <c r="AD24" s="20">
        <f>IFERROR(INDEX(Agosto!$D$5:$D$173,MATCH(A24,Agosto!$A$5:$A$173,0)),0)</f>
        <v/>
      </c>
      <c r="AE24" s="21">
        <f>ROUND(AD24+ROUND(Parametri!$C$9/12,4)-V24,4)</f>
        <v/>
      </c>
      <c r="AF24" s="19">
        <f>ROUND(I24+K24+L24+M24,2)</f>
        <v/>
      </c>
      <c r="AG24" s="19">
        <f>ROUND(N24-O24-Q24-R24,2)</f>
        <v/>
      </c>
      <c r="AH24" s="22">
        <f>IFERROR(INDEX(Agosto!$C$5:$C$173,MATCH(A24,Agosto!$A$5:$A$173,0)),"")</f>
        <v/>
      </c>
      <c r="AI24" s="23">
        <f>IF(AH24="","",S24/AH24-1)</f>
        <v/>
      </c>
      <c r="AJ24" s="4">
        <f>CHAR(65+MOD(SUMPRODUCT(SUMIF('Codice fiscale'!$A$5:$A$40,MID(C24,{1,3,5,7,9,11,13,15},1),'Codice fiscale'!$B$5:$B$40))+SUMPRODUCT(SUMIF('Codice fiscale'!$A$5:$A$40,MID(C24,{2,4,6,8,10,12,14},1),'Codice fiscale'!$C$5:$C$40)),26))</f>
        <v/>
      </c>
      <c r="AK24" s="4">
        <f>IF(ABS(I24-X24)&gt;Parametri!$C$11,"ERRORE","OK")</f>
        <v/>
      </c>
      <c r="AL24" s="4">
        <f>IF(ABS(K24-AA24)&gt;Parametri!$C$11,"ERRORE","OK")</f>
        <v/>
      </c>
      <c r="AM24" s="4">
        <f>IF(ABS(O24-AB24)&gt;Parametri!$C$11,"ERRORE","OK")</f>
        <v/>
      </c>
      <c r="AN24" s="4">
        <f>IF(ABS(T24-AC24)&gt;Parametri!$C$11,"ERRORE","OK")</f>
        <v/>
      </c>
      <c r="AO24" s="4">
        <f>IF(ABS(W24-AE24)&gt;Parametri!$C$12,"ERRORE","OK")</f>
        <v/>
      </c>
      <c r="AP24" s="4">
        <f>IF(OR(ABS(N24-AF24)&gt;Parametri!$C$11,ABS(S24-AG24)&gt;Parametri!$C$11),"ERRORE","OK")</f>
        <v/>
      </c>
      <c r="AQ24" s="4">
        <f>IF(AI24="","OK",IF(AND(ABS(AI24)&gt;Parametri!$C$10,G24=""),"ERRORE","OK"))</f>
        <v/>
      </c>
      <c r="AR24" s="4">
        <f>IF(AND(LEN(C24)=16,RIGHT(C24,1)=AJ24),"OK","ERRORE")</f>
        <v/>
      </c>
      <c r="AS24" s="12">
        <f>COUNTIF(AK24:AR24,"ERRORE")</f>
        <v/>
      </c>
    </row>
    <row r="25">
      <c r="A25" s="15" t="inlineStr">
        <is>
          <t>B021</t>
        </is>
      </c>
      <c r="B25" s="15" t="inlineStr">
        <is>
          <t>B</t>
        </is>
      </c>
      <c r="C25" s="15" t="inlineStr">
        <is>
          <t>SCSLZP03T20Z228R</t>
        </is>
      </c>
      <c r="D25" s="15" t="inlineStr">
        <is>
          <t>4</t>
        </is>
      </c>
      <c r="E25" s="16" t="n">
        <v>44753</v>
      </c>
      <c r="F25" s="17" t="n">
        <v>1</v>
      </c>
      <c r="G25" s="15" t="inlineStr">
        <is>
          <t>straordinari</t>
        </is>
      </c>
      <c r="H25" s="15" t="b">
        <v>1</v>
      </c>
      <c r="I25" s="17" t="n">
        <v>1781.68</v>
      </c>
      <c r="J25" s="15" t="n">
        <v>1</v>
      </c>
      <c r="K25" s="17" t="n">
        <v>20.66</v>
      </c>
      <c r="L25" s="17" t="n">
        <v>150</v>
      </c>
      <c r="M25" s="17" t="n">
        <v>887.51</v>
      </c>
      <c r="N25" s="17" t="n">
        <v>2839.85</v>
      </c>
      <c r="O25" s="17" t="n">
        <v>260.98</v>
      </c>
      <c r="P25" s="17" t="n">
        <v>2578.87</v>
      </c>
      <c r="Q25" s="17" t="n">
        <v>507.93</v>
      </c>
      <c r="R25" s="17" t="n">
        <v>38.68</v>
      </c>
      <c r="S25" s="17" t="n">
        <v>2032.26</v>
      </c>
      <c r="T25" s="17" t="n">
        <v>168.72</v>
      </c>
      <c r="U25" s="18" t="n">
        <v>2.1667</v>
      </c>
      <c r="V25" s="18" t="n">
        <v>0</v>
      </c>
      <c r="W25" s="18" t="n">
        <v>25.0729</v>
      </c>
      <c r="X25" s="19">
        <f>ROUND(INDEX(CCNL!$F$5:$F$12,MATCH(D25,CCNL!$A$5:$A$12,0))*F25,2)</f>
        <v/>
      </c>
      <c r="Y25" s="4">
        <f>(YEAR(Parametri!$C$5)*12+MONTH(Parametri!$C$5))-(YEAR(E25)*12+MONTH(E25))</f>
        <v/>
      </c>
      <c r="Z25" s="4">
        <f>MIN(Parametri!$C$13,MAX(0,INT((Y25-1)/36)))</f>
        <v/>
      </c>
      <c r="AA25" s="19">
        <f>ROUND(INDEX(CCNL!$I$5:$I$12,MATCH(D25,CCNL!$A$5:$A$12,0))*Z25*F25,2)</f>
        <v/>
      </c>
      <c r="AB25" s="19">
        <f>ROUND(N25*Parametri!$C$6,2)</f>
        <v/>
      </c>
      <c r="AC25" s="19">
        <f>ROUND((I25+K25+L25)*Parametri!$C$8/Parametri!$C$7/12,2)</f>
        <v/>
      </c>
      <c r="AD25" s="20">
        <f>IFERROR(INDEX(Agosto!$D$5:$D$173,MATCH(A25,Agosto!$A$5:$A$173,0)),0)</f>
        <v/>
      </c>
      <c r="AE25" s="21">
        <f>ROUND(AD25+ROUND(Parametri!$C$9/12,4)-V25,4)</f>
        <v/>
      </c>
      <c r="AF25" s="19">
        <f>ROUND(I25+K25+L25+M25,2)</f>
        <v/>
      </c>
      <c r="AG25" s="19">
        <f>ROUND(N25-O25-Q25-R25,2)</f>
        <v/>
      </c>
      <c r="AH25" s="22">
        <f>IFERROR(INDEX(Agosto!$C$5:$C$173,MATCH(A25,Agosto!$A$5:$A$173,0)),"")</f>
        <v/>
      </c>
      <c r="AI25" s="23">
        <f>IF(AH25="","",S25/AH25-1)</f>
        <v/>
      </c>
      <c r="AJ25" s="4">
        <f>CHAR(65+MOD(SUMPRODUCT(SUMIF('Codice fiscale'!$A$5:$A$40,MID(C25,{1,3,5,7,9,11,13,15},1),'Codice fiscale'!$B$5:$B$40))+SUMPRODUCT(SUMIF('Codice fiscale'!$A$5:$A$40,MID(C25,{2,4,6,8,10,12,14},1),'Codice fiscale'!$C$5:$C$40)),26))</f>
        <v/>
      </c>
      <c r="AK25" s="4">
        <f>IF(ABS(I25-X25)&gt;Parametri!$C$11,"ERRORE","OK")</f>
        <v/>
      </c>
      <c r="AL25" s="4">
        <f>IF(ABS(K25-AA25)&gt;Parametri!$C$11,"ERRORE","OK")</f>
        <v/>
      </c>
      <c r="AM25" s="4">
        <f>IF(ABS(O25-AB25)&gt;Parametri!$C$11,"ERRORE","OK")</f>
        <v/>
      </c>
      <c r="AN25" s="4">
        <f>IF(ABS(T25-AC25)&gt;Parametri!$C$11,"ERRORE","OK")</f>
        <v/>
      </c>
      <c r="AO25" s="4">
        <f>IF(ABS(W25-AE25)&gt;Parametri!$C$12,"ERRORE","OK")</f>
        <v/>
      </c>
      <c r="AP25" s="4">
        <f>IF(OR(ABS(N25-AF25)&gt;Parametri!$C$11,ABS(S25-AG25)&gt;Parametri!$C$11),"ERRORE","OK")</f>
        <v/>
      </c>
      <c r="AQ25" s="4">
        <f>IF(AI25="","OK",IF(AND(ABS(AI25)&gt;Parametri!$C$10,G25=""),"ERRORE","OK"))</f>
        <v/>
      </c>
      <c r="AR25" s="4">
        <f>IF(AND(LEN(C25)=16,RIGHT(C25,1)=AJ25),"OK","ERRORE")</f>
        <v/>
      </c>
      <c r="AS25" s="12">
        <f>COUNTIF(AK25:AR25,"ERRORE")</f>
        <v/>
      </c>
    </row>
    <row r="26">
      <c r="A26" s="15" t="inlineStr">
        <is>
          <t>B022</t>
        </is>
      </c>
      <c r="B26" s="15" t="inlineStr">
        <is>
          <t>B</t>
        </is>
      </c>
      <c r="C26" s="15" t="inlineStr">
        <is>
          <t>GVMLRB84A24Z377J</t>
        </is>
      </c>
      <c r="D26" s="15" t="inlineStr">
        <is>
          <t>3</t>
        </is>
      </c>
      <c r="E26" s="16" t="n">
        <v>45839</v>
      </c>
      <c r="F26" s="17" t="n">
        <v>1</v>
      </c>
      <c r="G26" s="15" t="inlineStr"/>
      <c r="H26" s="15" t="b">
        <v>0</v>
      </c>
      <c r="I26" s="17" t="n">
        <v>1981.84</v>
      </c>
      <c r="J26" s="15" t="n">
        <v>0</v>
      </c>
      <c r="K26" s="17" t="n">
        <v>0</v>
      </c>
      <c r="L26" s="17" t="n">
        <v>0</v>
      </c>
      <c r="M26" s="17" t="n">
        <v>0</v>
      </c>
      <c r="N26" s="17" t="n">
        <v>1981.84</v>
      </c>
      <c r="O26" s="17" t="n">
        <v>182.13</v>
      </c>
      <c r="P26" s="17" t="n">
        <v>1799.71</v>
      </c>
      <c r="Q26" s="17" t="n">
        <v>273.01</v>
      </c>
      <c r="R26" s="17" t="n">
        <v>27</v>
      </c>
      <c r="S26" s="17" t="n">
        <v>1499.7</v>
      </c>
      <c r="T26" s="17" t="n">
        <v>171.27</v>
      </c>
      <c r="U26" s="18" t="n">
        <v>2.1667</v>
      </c>
      <c r="V26" s="18" t="n">
        <v>0</v>
      </c>
      <c r="W26" s="18" t="n">
        <v>19.1703</v>
      </c>
      <c r="X26" s="19">
        <f>ROUND(INDEX(CCNL!$F$5:$F$12,MATCH(D26,CCNL!$A$5:$A$12,0))*F26,2)</f>
        <v/>
      </c>
      <c r="Y26" s="4">
        <f>(YEAR(Parametri!$C$5)*12+MONTH(Parametri!$C$5))-(YEAR(E26)*12+MONTH(E26))</f>
        <v/>
      </c>
      <c r="Z26" s="4">
        <f>MIN(Parametri!$C$13,MAX(0,INT((Y26-1)/36)))</f>
        <v/>
      </c>
      <c r="AA26" s="19">
        <f>ROUND(INDEX(CCNL!$I$5:$I$12,MATCH(D26,CCNL!$A$5:$A$12,0))*Z26*F26,2)</f>
        <v/>
      </c>
      <c r="AB26" s="19">
        <f>ROUND(N26*Parametri!$C$6,2)</f>
        <v/>
      </c>
      <c r="AC26" s="19">
        <f>ROUND((I26+K26+L26)*Parametri!$C$8/Parametri!$C$7/12,2)</f>
        <v/>
      </c>
      <c r="AD26" s="20">
        <f>IFERROR(INDEX(Agosto!$D$5:$D$173,MATCH(A26,Agosto!$A$5:$A$173,0)),0)</f>
        <v/>
      </c>
      <c r="AE26" s="21">
        <f>ROUND(AD26+ROUND(Parametri!$C$9/12,4)-V26,4)</f>
        <v/>
      </c>
      <c r="AF26" s="19">
        <f>ROUND(I26+K26+L26+M26,2)</f>
        <v/>
      </c>
      <c r="AG26" s="19">
        <f>ROUND(N26-O26-Q26-R26,2)</f>
        <v/>
      </c>
      <c r="AH26" s="22">
        <f>IFERROR(INDEX(Agosto!$C$5:$C$173,MATCH(A26,Agosto!$A$5:$A$173,0)),"")</f>
        <v/>
      </c>
      <c r="AI26" s="23">
        <f>IF(AH26="","",S26/AH26-1)</f>
        <v/>
      </c>
      <c r="AJ26" s="4">
        <f>CHAR(65+MOD(SUMPRODUCT(SUMIF('Codice fiscale'!$A$5:$A$40,MID(C26,{1,3,5,7,9,11,13,15},1),'Codice fiscale'!$B$5:$B$40))+SUMPRODUCT(SUMIF('Codice fiscale'!$A$5:$A$40,MID(C26,{2,4,6,8,10,12,14},1),'Codice fiscale'!$C$5:$C$40)),26))</f>
        <v/>
      </c>
      <c r="AK26" s="4">
        <f>IF(ABS(I26-X26)&gt;Parametri!$C$11,"ERRORE","OK")</f>
        <v/>
      </c>
      <c r="AL26" s="4">
        <f>IF(ABS(K26-AA26)&gt;Parametri!$C$11,"ERRORE","OK")</f>
        <v/>
      </c>
      <c r="AM26" s="4">
        <f>IF(ABS(O26-AB26)&gt;Parametri!$C$11,"ERRORE","OK")</f>
        <v/>
      </c>
      <c r="AN26" s="4">
        <f>IF(ABS(T26-AC26)&gt;Parametri!$C$11,"ERRORE","OK")</f>
        <v/>
      </c>
      <c r="AO26" s="4">
        <f>IF(ABS(W26-AE26)&gt;Parametri!$C$12,"ERRORE","OK")</f>
        <v/>
      </c>
      <c r="AP26" s="4">
        <f>IF(OR(ABS(N26-AF26)&gt;Parametri!$C$11,ABS(S26-AG26)&gt;Parametri!$C$11),"ERRORE","OK")</f>
        <v/>
      </c>
      <c r="AQ26" s="4">
        <f>IF(AI26="","OK",IF(AND(ABS(AI26)&gt;Parametri!$C$10,G26=""),"ERRORE","OK"))</f>
        <v/>
      </c>
      <c r="AR26" s="4">
        <f>IF(AND(LEN(C26)=16,RIGHT(C26,1)=AJ26),"OK","ERRORE")</f>
        <v/>
      </c>
      <c r="AS26" s="12">
        <f>COUNTIF(AK26:AR26,"ERRORE")</f>
        <v/>
      </c>
    </row>
    <row r="27">
      <c r="A27" s="15" t="inlineStr">
        <is>
          <t>B023</t>
        </is>
      </c>
      <c r="B27" s="15" t="inlineStr">
        <is>
          <t>B</t>
        </is>
      </c>
      <c r="C27" s="15" t="inlineStr">
        <is>
          <t>RSSGBM65T44Z396D</t>
        </is>
      </c>
      <c r="D27" s="15" t="inlineStr">
        <is>
          <t>2</t>
        </is>
      </c>
      <c r="E27" s="16" t="n">
        <v>38629</v>
      </c>
      <c r="F27" s="17" t="n">
        <v>1</v>
      </c>
      <c r="G27" s="15" t="inlineStr"/>
      <c r="H27" s="15" t="b">
        <v>1</v>
      </c>
      <c r="I27" s="17" t="n">
        <v>2233.6</v>
      </c>
      <c r="J27" s="15" t="n">
        <v>6</v>
      </c>
      <c r="K27" s="17" t="n">
        <v>136.98</v>
      </c>
      <c r="L27" s="17" t="n">
        <v>120</v>
      </c>
      <c r="M27" s="17" t="n">
        <v>0</v>
      </c>
      <c r="N27" s="17" t="n">
        <v>2490.58</v>
      </c>
      <c r="O27" s="17" t="n">
        <v>228.88</v>
      </c>
      <c r="P27" s="17" t="n">
        <v>2261.7</v>
      </c>
      <c r="Q27" s="17" t="n">
        <v>397.74</v>
      </c>
      <c r="R27" s="17" t="n">
        <v>33.93</v>
      </c>
      <c r="S27" s="17" t="n">
        <v>1830.03</v>
      </c>
      <c r="T27" s="17" t="n">
        <v>215.24</v>
      </c>
      <c r="U27" s="18" t="n">
        <v>2.1667</v>
      </c>
      <c r="V27" s="18" t="n">
        <v>1</v>
      </c>
      <c r="W27" s="18" t="n">
        <v>21.6988</v>
      </c>
      <c r="X27" s="19">
        <f>ROUND(INDEX(CCNL!$F$5:$F$12,MATCH(D27,CCNL!$A$5:$A$12,0))*F27,2)</f>
        <v/>
      </c>
      <c r="Y27" s="4">
        <f>(YEAR(Parametri!$C$5)*12+MONTH(Parametri!$C$5))-(YEAR(E27)*12+MONTH(E27))</f>
        <v/>
      </c>
      <c r="Z27" s="4">
        <f>MIN(Parametri!$C$13,MAX(0,INT((Y27-1)/36)))</f>
        <v/>
      </c>
      <c r="AA27" s="19">
        <f>ROUND(INDEX(CCNL!$I$5:$I$12,MATCH(D27,CCNL!$A$5:$A$12,0))*Z27*F27,2)</f>
        <v/>
      </c>
      <c r="AB27" s="19">
        <f>ROUND(N27*Parametri!$C$6,2)</f>
        <v/>
      </c>
      <c r="AC27" s="19">
        <f>ROUND((I27+K27+L27)*Parametri!$C$8/Parametri!$C$7/12,2)</f>
        <v/>
      </c>
      <c r="AD27" s="20">
        <f>IFERROR(INDEX(Agosto!$D$5:$D$173,MATCH(A27,Agosto!$A$5:$A$173,0)),0)</f>
        <v/>
      </c>
      <c r="AE27" s="21">
        <f>ROUND(AD27+ROUND(Parametri!$C$9/12,4)-V27,4)</f>
        <v/>
      </c>
      <c r="AF27" s="19">
        <f>ROUND(I27+K27+L27+M27,2)</f>
        <v/>
      </c>
      <c r="AG27" s="19">
        <f>ROUND(N27-O27-Q27-R27,2)</f>
        <v/>
      </c>
      <c r="AH27" s="22">
        <f>IFERROR(INDEX(Agosto!$C$5:$C$173,MATCH(A27,Agosto!$A$5:$A$173,0)),"")</f>
        <v/>
      </c>
      <c r="AI27" s="23">
        <f>IF(AH27="","",S27/AH27-1)</f>
        <v/>
      </c>
      <c r="AJ27" s="4">
        <f>CHAR(65+MOD(SUMPRODUCT(SUMIF('Codice fiscale'!$A$5:$A$40,MID(C27,{1,3,5,7,9,11,13,15},1),'Codice fiscale'!$B$5:$B$40))+SUMPRODUCT(SUMIF('Codice fiscale'!$A$5:$A$40,MID(C27,{2,4,6,8,10,12,14},1),'Codice fiscale'!$C$5:$C$40)),26))</f>
        <v/>
      </c>
      <c r="AK27" s="4">
        <f>IF(ABS(I27-X27)&gt;Parametri!$C$11,"ERRORE","OK")</f>
        <v/>
      </c>
      <c r="AL27" s="4">
        <f>IF(ABS(K27-AA27)&gt;Parametri!$C$11,"ERRORE","OK")</f>
        <v/>
      </c>
      <c r="AM27" s="4">
        <f>IF(ABS(O27-AB27)&gt;Parametri!$C$11,"ERRORE","OK")</f>
        <v/>
      </c>
      <c r="AN27" s="4">
        <f>IF(ABS(T27-AC27)&gt;Parametri!$C$11,"ERRORE","OK")</f>
        <v/>
      </c>
      <c r="AO27" s="4">
        <f>IF(ABS(W27-AE27)&gt;Parametri!$C$12,"ERRORE","OK")</f>
        <v/>
      </c>
      <c r="AP27" s="4">
        <f>IF(OR(ABS(N27-AF27)&gt;Parametri!$C$11,ABS(S27-AG27)&gt;Parametri!$C$11),"ERRORE","OK")</f>
        <v/>
      </c>
      <c r="AQ27" s="4">
        <f>IF(AI27="","OK",IF(AND(ABS(AI27)&gt;Parametri!$C$10,G27=""),"ERRORE","OK"))</f>
        <v/>
      </c>
      <c r="AR27" s="4">
        <f>IF(AND(LEN(C27)=16,RIGHT(C27,1)=AJ27),"OK","ERRORE")</f>
        <v/>
      </c>
      <c r="AS27" s="12">
        <f>COUNTIF(AK27:AR27,"ERRORE")</f>
        <v/>
      </c>
    </row>
    <row r="28">
      <c r="A28" s="15" t="inlineStr">
        <is>
          <t>B024</t>
        </is>
      </c>
      <c r="B28" s="15" t="inlineStr">
        <is>
          <t>B</t>
        </is>
      </c>
      <c r="C28" s="15" t="inlineStr">
        <is>
          <t>STPSPM86D65Z230W</t>
        </is>
      </c>
      <c r="D28" s="15" t="inlineStr">
        <is>
          <t>5</t>
        </is>
      </c>
      <c r="E28" s="16" t="n">
        <v>43412</v>
      </c>
      <c r="F28" s="17" t="n">
        <v>1</v>
      </c>
      <c r="G28" s="15" t="inlineStr"/>
      <c r="H28" s="15" t="b">
        <v>0</v>
      </c>
      <c r="I28" s="17" t="n">
        <v>1658.01</v>
      </c>
      <c r="J28" s="15" t="n">
        <v>2</v>
      </c>
      <c r="K28" s="17" t="n">
        <v>40.6</v>
      </c>
      <c r="L28" s="17" t="n">
        <v>0</v>
      </c>
      <c r="M28" s="17" t="n">
        <v>0</v>
      </c>
      <c r="N28" s="17" t="n">
        <v>1698.61</v>
      </c>
      <c r="O28" s="17" t="n">
        <v>156.1</v>
      </c>
      <c r="P28" s="17" t="n">
        <v>1542.51</v>
      </c>
      <c r="Q28" s="17" t="n">
        <v>203.56</v>
      </c>
      <c r="R28" s="17" t="n">
        <v>23.14</v>
      </c>
      <c r="S28" s="17" t="n">
        <v>1315.81</v>
      </c>
      <c r="T28" s="17" t="n">
        <v>146.79</v>
      </c>
      <c r="U28" s="18" t="n">
        <v>2.1667</v>
      </c>
      <c r="V28" s="18" t="n">
        <v>0</v>
      </c>
      <c r="W28" s="18" t="n">
        <v>15.6864</v>
      </c>
      <c r="X28" s="19">
        <f>ROUND(INDEX(CCNL!$F$5:$F$12,MATCH(D28,CCNL!$A$5:$A$12,0))*F28,2)</f>
        <v/>
      </c>
      <c r="Y28" s="4">
        <f>(YEAR(Parametri!$C$5)*12+MONTH(Parametri!$C$5))-(YEAR(E28)*12+MONTH(E28))</f>
        <v/>
      </c>
      <c r="Z28" s="4">
        <f>MIN(Parametri!$C$13,MAX(0,INT((Y28-1)/36)))</f>
        <v/>
      </c>
      <c r="AA28" s="19">
        <f>ROUND(INDEX(CCNL!$I$5:$I$12,MATCH(D28,CCNL!$A$5:$A$12,0))*Z28*F28,2)</f>
        <v/>
      </c>
      <c r="AB28" s="19">
        <f>ROUND(N28*Parametri!$C$6,2)</f>
        <v/>
      </c>
      <c r="AC28" s="19">
        <f>ROUND((I28+K28+L28)*Parametri!$C$8/Parametri!$C$7/12,2)</f>
        <v/>
      </c>
      <c r="AD28" s="20">
        <f>IFERROR(INDEX(Agosto!$D$5:$D$173,MATCH(A28,Agosto!$A$5:$A$173,0)),0)</f>
        <v/>
      </c>
      <c r="AE28" s="21">
        <f>ROUND(AD28+ROUND(Parametri!$C$9/12,4)-V28,4)</f>
        <v/>
      </c>
      <c r="AF28" s="19">
        <f>ROUND(I28+K28+L28+M28,2)</f>
        <v/>
      </c>
      <c r="AG28" s="19">
        <f>ROUND(N28-O28-Q28-R28,2)</f>
        <v/>
      </c>
      <c r="AH28" s="22">
        <f>IFERROR(INDEX(Agosto!$C$5:$C$173,MATCH(A28,Agosto!$A$5:$A$173,0)),"")</f>
        <v/>
      </c>
      <c r="AI28" s="23">
        <f>IF(AH28="","",S28/AH28-1)</f>
        <v/>
      </c>
      <c r="AJ28" s="4">
        <f>CHAR(65+MOD(SUMPRODUCT(SUMIF('Codice fiscale'!$A$5:$A$40,MID(C28,{1,3,5,7,9,11,13,15},1),'Codice fiscale'!$B$5:$B$40))+SUMPRODUCT(SUMIF('Codice fiscale'!$A$5:$A$40,MID(C28,{2,4,6,8,10,12,14},1),'Codice fiscale'!$C$5:$C$40)),26))</f>
        <v/>
      </c>
      <c r="AK28" s="4">
        <f>IF(ABS(I28-X28)&gt;Parametri!$C$11,"ERRORE","OK")</f>
        <v/>
      </c>
      <c r="AL28" s="4">
        <f>IF(ABS(K28-AA28)&gt;Parametri!$C$11,"ERRORE","OK")</f>
        <v/>
      </c>
      <c r="AM28" s="4">
        <f>IF(ABS(O28-AB28)&gt;Parametri!$C$11,"ERRORE","OK")</f>
        <v/>
      </c>
      <c r="AN28" s="4">
        <f>IF(ABS(T28-AC28)&gt;Parametri!$C$11,"ERRORE","OK")</f>
        <v/>
      </c>
      <c r="AO28" s="4">
        <f>IF(ABS(W28-AE28)&gt;Parametri!$C$12,"ERRORE","OK")</f>
        <v/>
      </c>
      <c r="AP28" s="4">
        <f>IF(OR(ABS(N28-AF28)&gt;Parametri!$C$11,ABS(S28-AG28)&gt;Parametri!$C$11),"ERRORE","OK")</f>
        <v/>
      </c>
      <c r="AQ28" s="4">
        <f>IF(AI28="","OK",IF(AND(ABS(AI28)&gt;Parametri!$C$10,G28=""),"ERRORE","OK"))</f>
        <v/>
      </c>
      <c r="AR28" s="4">
        <f>IF(AND(LEN(C28)=16,RIGHT(C28,1)=AJ28),"OK","ERRORE")</f>
        <v/>
      </c>
      <c r="AS28" s="12">
        <f>COUNTIF(AK28:AR28,"ERRORE")</f>
        <v/>
      </c>
    </row>
    <row r="29">
      <c r="A29" s="15" t="inlineStr">
        <is>
          <t>B025</t>
        </is>
      </c>
      <c r="B29" s="15" t="inlineStr">
        <is>
          <t>B</t>
        </is>
      </c>
      <c r="C29" s="15" t="inlineStr">
        <is>
          <t>ZDPBSZ63E58Z363H</t>
        </is>
      </c>
      <c r="D29" s="15" t="inlineStr">
        <is>
          <t>7</t>
        </is>
      </c>
      <c r="E29" s="16" t="n">
        <v>44046</v>
      </c>
      <c r="F29" s="17" t="n">
        <v>1</v>
      </c>
      <c r="G29" s="15" t="inlineStr"/>
      <c r="H29" s="15" t="b">
        <v>0</v>
      </c>
      <c r="I29" s="17" t="n">
        <v>1395.89</v>
      </c>
      <c r="J29" s="15" t="n">
        <v>1</v>
      </c>
      <c r="K29" s="17" t="n">
        <v>19.47</v>
      </c>
      <c r="L29" s="17" t="n">
        <v>0</v>
      </c>
      <c r="M29" s="17" t="n">
        <v>0</v>
      </c>
      <c r="N29" s="17" t="n">
        <v>1415.36</v>
      </c>
      <c r="O29" s="17" t="n">
        <v>130.07</v>
      </c>
      <c r="P29" s="17" t="n">
        <v>1285.29</v>
      </c>
      <c r="Q29" s="17" t="n">
        <v>134.11</v>
      </c>
      <c r="R29" s="17" t="n">
        <v>19.28</v>
      </c>
      <c r="S29" s="17" t="n">
        <v>1131.9</v>
      </c>
      <c r="T29" s="17" t="n">
        <v>122.32</v>
      </c>
      <c r="U29" s="18" t="n">
        <v>2.1667</v>
      </c>
      <c r="V29" s="18" t="n">
        <v>0</v>
      </c>
      <c r="W29" s="18" t="n">
        <v>18.5615</v>
      </c>
      <c r="X29" s="19">
        <f>ROUND(INDEX(CCNL!$F$5:$F$12,MATCH(D29,CCNL!$A$5:$A$12,0))*F29,2)</f>
        <v/>
      </c>
      <c r="Y29" s="4">
        <f>(YEAR(Parametri!$C$5)*12+MONTH(Parametri!$C$5))-(YEAR(E29)*12+MONTH(E29))</f>
        <v/>
      </c>
      <c r="Z29" s="4">
        <f>MIN(Parametri!$C$13,MAX(0,INT((Y29-1)/36)))</f>
        <v/>
      </c>
      <c r="AA29" s="19">
        <f>ROUND(INDEX(CCNL!$I$5:$I$12,MATCH(D29,CCNL!$A$5:$A$12,0))*Z29*F29,2)</f>
        <v/>
      </c>
      <c r="AB29" s="19">
        <f>ROUND(N29*Parametri!$C$6,2)</f>
        <v/>
      </c>
      <c r="AC29" s="19">
        <f>ROUND((I29+K29+L29)*Parametri!$C$8/Parametri!$C$7/12,2)</f>
        <v/>
      </c>
      <c r="AD29" s="20">
        <f>IFERROR(INDEX(Agosto!$D$5:$D$173,MATCH(A29,Agosto!$A$5:$A$173,0)),0)</f>
        <v/>
      </c>
      <c r="AE29" s="21">
        <f>ROUND(AD29+ROUND(Parametri!$C$9/12,4)-V29,4)</f>
        <v/>
      </c>
      <c r="AF29" s="19">
        <f>ROUND(I29+K29+L29+M29,2)</f>
        <v/>
      </c>
      <c r="AG29" s="19">
        <f>ROUND(N29-O29-Q29-R29,2)</f>
        <v/>
      </c>
      <c r="AH29" s="22">
        <f>IFERROR(INDEX(Agosto!$C$5:$C$173,MATCH(A29,Agosto!$A$5:$A$173,0)),"")</f>
        <v/>
      </c>
      <c r="AI29" s="23">
        <f>IF(AH29="","",S29/AH29-1)</f>
        <v/>
      </c>
      <c r="AJ29" s="4">
        <f>CHAR(65+MOD(SUMPRODUCT(SUMIF('Codice fiscale'!$A$5:$A$40,MID(C29,{1,3,5,7,9,11,13,15},1),'Codice fiscale'!$B$5:$B$40))+SUMPRODUCT(SUMIF('Codice fiscale'!$A$5:$A$40,MID(C29,{2,4,6,8,10,12,14},1),'Codice fiscale'!$C$5:$C$40)),26))</f>
        <v/>
      </c>
      <c r="AK29" s="4">
        <f>IF(ABS(I29-X29)&gt;Parametri!$C$11,"ERRORE","OK")</f>
        <v/>
      </c>
      <c r="AL29" s="4">
        <f>IF(ABS(K29-AA29)&gt;Parametri!$C$11,"ERRORE","OK")</f>
        <v/>
      </c>
      <c r="AM29" s="4">
        <f>IF(ABS(O29-AB29)&gt;Parametri!$C$11,"ERRORE","OK")</f>
        <v/>
      </c>
      <c r="AN29" s="4">
        <f>IF(ABS(T29-AC29)&gt;Parametri!$C$11,"ERRORE","OK")</f>
        <v/>
      </c>
      <c r="AO29" s="4">
        <f>IF(ABS(W29-AE29)&gt;Parametri!$C$12,"ERRORE","OK")</f>
        <v/>
      </c>
      <c r="AP29" s="4">
        <f>IF(OR(ABS(N29-AF29)&gt;Parametri!$C$11,ABS(S29-AG29)&gt;Parametri!$C$11),"ERRORE","OK")</f>
        <v/>
      </c>
      <c r="AQ29" s="4">
        <f>IF(AI29="","OK",IF(AND(ABS(AI29)&gt;Parametri!$C$10,G29=""),"ERRORE","OK"))</f>
        <v/>
      </c>
      <c r="AR29" s="4">
        <f>IF(AND(LEN(C29)=16,RIGHT(C29,1)=AJ29),"OK","ERRORE")</f>
        <v/>
      </c>
      <c r="AS29" s="12">
        <f>COUNTIF(AK29:AR29,"ERRORE")</f>
        <v/>
      </c>
    </row>
    <row r="30">
      <c r="A30" s="15" t="inlineStr">
        <is>
          <t>B026</t>
        </is>
      </c>
      <c r="B30" s="15" t="inlineStr">
        <is>
          <t>B</t>
        </is>
      </c>
      <c r="C30" s="15" t="inlineStr">
        <is>
          <t>NBFSPZ95T51Z177S</t>
        </is>
      </c>
      <c r="D30" s="15" t="inlineStr">
        <is>
          <t>1</t>
        </is>
      </c>
      <c r="E30" s="16" t="n">
        <v>41970</v>
      </c>
      <c r="F30" s="17" t="n">
        <v>1</v>
      </c>
      <c r="G30" s="15" t="inlineStr"/>
      <c r="H30" s="15" t="b">
        <v>0</v>
      </c>
      <c r="I30" s="17" t="n">
        <v>2504.07</v>
      </c>
      <c r="J30" s="15" t="n">
        <v>3</v>
      </c>
      <c r="K30" s="17" t="n">
        <v>74.52</v>
      </c>
      <c r="L30" s="17" t="n">
        <v>50</v>
      </c>
      <c r="M30" s="17" t="n">
        <v>0</v>
      </c>
      <c r="N30" s="17" t="n">
        <v>2628.59</v>
      </c>
      <c r="O30" s="17" t="n">
        <v>241.57</v>
      </c>
      <c r="P30" s="17" t="n">
        <v>2387.02</v>
      </c>
      <c r="Q30" s="17" t="n">
        <v>436.95</v>
      </c>
      <c r="R30" s="17" t="n">
        <v>35.81</v>
      </c>
      <c r="S30" s="17" t="n">
        <v>1914.26</v>
      </c>
      <c r="T30" s="17" t="n">
        <v>227.16</v>
      </c>
      <c r="U30" s="18" t="n">
        <v>2.1667</v>
      </c>
      <c r="V30" s="18" t="n">
        <v>0</v>
      </c>
      <c r="W30" s="18" t="n">
        <v>19.9471</v>
      </c>
      <c r="X30" s="19">
        <f>ROUND(INDEX(CCNL!$F$5:$F$12,MATCH(D30,CCNL!$A$5:$A$12,0))*F30,2)</f>
        <v/>
      </c>
      <c r="Y30" s="4">
        <f>(YEAR(Parametri!$C$5)*12+MONTH(Parametri!$C$5))-(YEAR(E30)*12+MONTH(E30))</f>
        <v/>
      </c>
      <c r="Z30" s="4">
        <f>MIN(Parametri!$C$13,MAX(0,INT((Y30-1)/36)))</f>
        <v/>
      </c>
      <c r="AA30" s="19">
        <f>ROUND(INDEX(CCNL!$I$5:$I$12,MATCH(D30,CCNL!$A$5:$A$12,0))*Z30*F30,2)</f>
        <v/>
      </c>
      <c r="AB30" s="19">
        <f>ROUND(N30*Parametri!$C$6,2)</f>
        <v/>
      </c>
      <c r="AC30" s="19">
        <f>ROUND((I30+K30+L30)*Parametri!$C$8/Parametri!$C$7/12,2)</f>
        <v/>
      </c>
      <c r="AD30" s="20">
        <f>IFERROR(INDEX(Agosto!$D$5:$D$173,MATCH(A30,Agosto!$A$5:$A$173,0)),0)</f>
        <v/>
      </c>
      <c r="AE30" s="21">
        <f>ROUND(AD30+ROUND(Parametri!$C$9/12,4)-V30,4)</f>
        <v/>
      </c>
      <c r="AF30" s="19">
        <f>ROUND(I30+K30+L30+M30,2)</f>
        <v/>
      </c>
      <c r="AG30" s="19">
        <f>ROUND(N30-O30-Q30-R30,2)</f>
        <v/>
      </c>
      <c r="AH30" s="22">
        <f>IFERROR(INDEX(Agosto!$C$5:$C$173,MATCH(A30,Agosto!$A$5:$A$173,0)),"")</f>
        <v/>
      </c>
      <c r="AI30" s="23">
        <f>IF(AH30="","",S30/AH30-1)</f>
        <v/>
      </c>
      <c r="AJ30" s="4">
        <f>CHAR(65+MOD(SUMPRODUCT(SUMIF('Codice fiscale'!$A$5:$A$40,MID(C30,{1,3,5,7,9,11,13,15},1),'Codice fiscale'!$B$5:$B$40))+SUMPRODUCT(SUMIF('Codice fiscale'!$A$5:$A$40,MID(C30,{2,4,6,8,10,12,14},1),'Codice fiscale'!$C$5:$C$40)),26))</f>
        <v/>
      </c>
      <c r="AK30" s="4">
        <f>IF(ABS(I30-X30)&gt;Parametri!$C$11,"ERRORE","OK")</f>
        <v/>
      </c>
      <c r="AL30" s="4">
        <f>IF(ABS(K30-AA30)&gt;Parametri!$C$11,"ERRORE","OK")</f>
        <v/>
      </c>
      <c r="AM30" s="4">
        <f>IF(ABS(O30-AB30)&gt;Parametri!$C$11,"ERRORE","OK")</f>
        <v/>
      </c>
      <c r="AN30" s="4">
        <f>IF(ABS(T30-AC30)&gt;Parametri!$C$11,"ERRORE","OK")</f>
        <v/>
      </c>
      <c r="AO30" s="4">
        <f>IF(ABS(W30-AE30)&gt;Parametri!$C$12,"ERRORE","OK")</f>
        <v/>
      </c>
      <c r="AP30" s="4">
        <f>IF(OR(ABS(N30-AF30)&gt;Parametri!$C$11,ABS(S30-AG30)&gt;Parametri!$C$11),"ERRORE","OK")</f>
        <v/>
      </c>
      <c r="AQ30" s="4">
        <f>IF(AI30="","OK",IF(AND(ABS(AI30)&gt;Parametri!$C$10,G30=""),"ERRORE","OK"))</f>
        <v/>
      </c>
      <c r="AR30" s="4">
        <f>IF(AND(LEN(C30)=16,RIGHT(C30,1)=AJ30),"OK","ERRORE")</f>
        <v/>
      </c>
      <c r="AS30" s="12">
        <f>COUNTIF(AK30:AR30,"ERRORE")</f>
        <v/>
      </c>
    </row>
    <row r="31">
      <c r="A31" s="15" t="inlineStr">
        <is>
          <t>B027</t>
        </is>
      </c>
      <c r="B31" s="15" t="inlineStr">
        <is>
          <t>B</t>
        </is>
      </c>
      <c r="C31" s="15" t="inlineStr">
        <is>
          <t>LNSNPV87T12Z342X</t>
        </is>
      </c>
      <c r="D31" s="15" t="inlineStr">
        <is>
          <t>3</t>
        </is>
      </c>
      <c r="E31" s="16" t="n">
        <v>41544</v>
      </c>
      <c r="F31" s="17" t="n">
        <v>0.75</v>
      </c>
      <c r="G31" s="15" t="inlineStr"/>
      <c r="H31" s="15" t="b">
        <v>0</v>
      </c>
      <c r="I31" s="17" t="n">
        <v>1486.38</v>
      </c>
      <c r="J31" s="15" t="n">
        <v>4</v>
      </c>
      <c r="K31" s="17" t="n">
        <v>65.84999999999999</v>
      </c>
      <c r="L31" s="17" t="n">
        <v>90</v>
      </c>
      <c r="M31" s="17" t="n">
        <v>0</v>
      </c>
      <c r="N31" s="17" t="n">
        <v>1642.23</v>
      </c>
      <c r="O31" s="17" t="n">
        <v>150.92</v>
      </c>
      <c r="P31" s="17" t="n">
        <v>1491.31</v>
      </c>
      <c r="Q31" s="17" t="n">
        <v>189.74</v>
      </c>
      <c r="R31" s="17" t="n">
        <v>22.37</v>
      </c>
      <c r="S31" s="17" t="n">
        <v>1279.2</v>
      </c>
      <c r="T31" s="17" t="n">
        <v>141.92</v>
      </c>
      <c r="U31" s="18" t="n">
        <v>2.1667</v>
      </c>
      <c r="V31" s="18" t="n">
        <v>0</v>
      </c>
      <c r="W31" s="18" t="n">
        <v>31.3549</v>
      </c>
      <c r="X31" s="19">
        <f>ROUND(INDEX(CCNL!$F$5:$F$12,MATCH(D31,CCNL!$A$5:$A$12,0))*F31,2)</f>
        <v/>
      </c>
      <c r="Y31" s="4">
        <f>(YEAR(Parametri!$C$5)*12+MONTH(Parametri!$C$5))-(YEAR(E31)*12+MONTH(E31))</f>
        <v/>
      </c>
      <c r="Z31" s="4">
        <f>MIN(Parametri!$C$13,MAX(0,INT((Y31-1)/36)))</f>
        <v/>
      </c>
      <c r="AA31" s="19">
        <f>ROUND(INDEX(CCNL!$I$5:$I$12,MATCH(D31,CCNL!$A$5:$A$12,0))*Z31*F31,2)</f>
        <v/>
      </c>
      <c r="AB31" s="19">
        <f>ROUND(N31*Parametri!$C$6,2)</f>
        <v/>
      </c>
      <c r="AC31" s="19">
        <f>ROUND((I31+K31+L31)*Parametri!$C$8/Parametri!$C$7/12,2)</f>
        <v/>
      </c>
      <c r="AD31" s="20">
        <f>IFERROR(INDEX(Agosto!$D$5:$D$173,MATCH(A31,Agosto!$A$5:$A$173,0)),0)</f>
        <v/>
      </c>
      <c r="AE31" s="21">
        <f>ROUND(AD31+ROUND(Parametri!$C$9/12,4)-V31,4)</f>
        <v/>
      </c>
      <c r="AF31" s="19">
        <f>ROUND(I31+K31+L31+M31,2)</f>
        <v/>
      </c>
      <c r="AG31" s="19">
        <f>ROUND(N31-O31-Q31-R31,2)</f>
        <v/>
      </c>
      <c r="AH31" s="22">
        <f>IFERROR(INDEX(Agosto!$C$5:$C$173,MATCH(A31,Agosto!$A$5:$A$173,0)),"")</f>
        <v/>
      </c>
      <c r="AI31" s="23">
        <f>IF(AH31="","",S31/AH31-1)</f>
        <v/>
      </c>
      <c r="AJ31" s="4">
        <f>CHAR(65+MOD(SUMPRODUCT(SUMIF('Codice fiscale'!$A$5:$A$40,MID(C31,{1,3,5,7,9,11,13,15},1),'Codice fiscale'!$B$5:$B$40))+SUMPRODUCT(SUMIF('Codice fiscale'!$A$5:$A$40,MID(C31,{2,4,6,8,10,12,14},1),'Codice fiscale'!$C$5:$C$40)),26))</f>
        <v/>
      </c>
      <c r="AK31" s="4">
        <f>IF(ABS(I31-X31)&gt;Parametri!$C$11,"ERRORE","OK")</f>
        <v/>
      </c>
      <c r="AL31" s="4">
        <f>IF(ABS(K31-AA31)&gt;Parametri!$C$11,"ERRORE","OK")</f>
        <v/>
      </c>
      <c r="AM31" s="4">
        <f>IF(ABS(O31-AB31)&gt;Parametri!$C$11,"ERRORE","OK")</f>
        <v/>
      </c>
      <c r="AN31" s="4">
        <f>IF(ABS(T31-AC31)&gt;Parametri!$C$11,"ERRORE","OK")</f>
        <v/>
      </c>
      <c r="AO31" s="4">
        <f>IF(ABS(W31-AE31)&gt;Parametri!$C$12,"ERRORE","OK")</f>
        <v/>
      </c>
      <c r="AP31" s="4">
        <f>IF(OR(ABS(N31-AF31)&gt;Parametri!$C$11,ABS(S31-AG31)&gt;Parametri!$C$11),"ERRORE","OK")</f>
        <v/>
      </c>
      <c r="AQ31" s="4">
        <f>IF(AI31="","OK",IF(AND(ABS(AI31)&gt;Parametri!$C$10,G31=""),"ERRORE","OK"))</f>
        <v/>
      </c>
      <c r="AR31" s="4">
        <f>IF(AND(LEN(C31)=16,RIGHT(C31,1)=AJ31),"OK","ERRORE")</f>
        <v/>
      </c>
      <c r="AS31" s="12">
        <f>COUNTIF(AK31:AR31,"ERRORE")</f>
        <v/>
      </c>
    </row>
    <row r="32">
      <c r="A32" s="15" t="inlineStr">
        <is>
          <t>B028</t>
        </is>
      </c>
      <c r="B32" s="15" t="inlineStr">
        <is>
          <t>B</t>
        </is>
      </c>
      <c r="C32" s="15" t="inlineStr">
        <is>
          <t>ZZPTMV81D06Z119Q</t>
        </is>
      </c>
      <c r="D32" s="15" t="inlineStr">
        <is>
          <t>4</t>
        </is>
      </c>
      <c r="E32" s="16" t="n">
        <v>44017</v>
      </c>
      <c r="F32" s="17" t="n">
        <v>1</v>
      </c>
      <c r="G32" s="15" t="inlineStr"/>
      <c r="H32" s="15" t="b">
        <v>1</v>
      </c>
      <c r="I32" s="17" t="n">
        <v>1781.68</v>
      </c>
      <c r="J32" s="15" t="n">
        <v>2</v>
      </c>
      <c r="K32" s="17" t="n">
        <v>41.32</v>
      </c>
      <c r="L32" s="17" t="n">
        <v>120</v>
      </c>
      <c r="M32" s="17" t="n">
        <v>0</v>
      </c>
      <c r="N32" s="17" t="n">
        <v>1943</v>
      </c>
      <c r="O32" s="17" t="n">
        <v>178.56</v>
      </c>
      <c r="P32" s="17" t="n">
        <v>1764.44</v>
      </c>
      <c r="Q32" s="17" t="n">
        <v>263.48</v>
      </c>
      <c r="R32" s="17" t="n">
        <v>26.47</v>
      </c>
      <c r="S32" s="17" t="n">
        <v>1474.49</v>
      </c>
      <c r="T32" s="17" t="n">
        <v>167.91</v>
      </c>
      <c r="U32" s="18" t="n">
        <v>2.1667</v>
      </c>
      <c r="V32" s="18" t="n">
        <v>0</v>
      </c>
      <c r="W32" s="18" t="n">
        <v>17.3882</v>
      </c>
      <c r="X32" s="19">
        <f>ROUND(INDEX(CCNL!$F$5:$F$12,MATCH(D32,CCNL!$A$5:$A$12,0))*F32,2)</f>
        <v/>
      </c>
      <c r="Y32" s="4">
        <f>(YEAR(Parametri!$C$5)*12+MONTH(Parametri!$C$5))-(YEAR(E32)*12+MONTH(E32))</f>
        <v/>
      </c>
      <c r="Z32" s="4">
        <f>MIN(Parametri!$C$13,MAX(0,INT((Y32-1)/36)))</f>
        <v/>
      </c>
      <c r="AA32" s="19">
        <f>ROUND(INDEX(CCNL!$I$5:$I$12,MATCH(D32,CCNL!$A$5:$A$12,0))*Z32*F32,2)</f>
        <v/>
      </c>
      <c r="AB32" s="19">
        <f>ROUND(N32*Parametri!$C$6,2)</f>
        <v/>
      </c>
      <c r="AC32" s="19">
        <f>ROUND((I32+K32+L32)*Parametri!$C$8/Parametri!$C$7/12,2)</f>
        <v/>
      </c>
      <c r="AD32" s="20">
        <f>IFERROR(INDEX(Agosto!$D$5:$D$173,MATCH(A32,Agosto!$A$5:$A$173,0)),0)</f>
        <v/>
      </c>
      <c r="AE32" s="21">
        <f>ROUND(AD32+ROUND(Parametri!$C$9/12,4)-V32,4)</f>
        <v/>
      </c>
      <c r="AF32" s="19">
        <f>ROUND(I32+K32+L32+M32,2)</f>
        <v/>
      </c>
      <c r="AG32" s="19">
        <f>ROUND(N32-O32-Q32-R32,2)</f>
        <v/>
      </c>
      <c r="AH32" s="22">
        <f>IFERROR(INDEX(Agosto!$C$5:$C$173,MATCH(A32,Agosto!$A$5:$A$173,0)),"")</f>
        <v/>
      </c>
      <c r="AI32" s="23">
        <f>IF(AH32="","",S32/AH32-1)</f>
        <v/>
      </c>
      <c r="AJ32" s="4">
        <f>CHAR(65+MOD(SUMPRODUCT(SUMIF('Codice fiscale'!$A$5:$A$40,MID(C32,{1,3,5,7,9,11,13,15},1),'Codice fiscale'!$B$5:$B$40))+SUMPRODUCT(SUMIF('Codice fiscale'!$A$5:$A$40,MID(C32,{2,4,6,8,10,12,14},1),'Codice fiscale'!$C$5:$C$40)),26))</f>
        <v/>
      </c>
      <c r="AK32" s="4">
        <f>IF(ABS(I32-X32)&gt;Parametri!$C$11,"ERRORE","OK")</f>
        <v/>
      </c>
      <c r="AL32" s="4">
        <f>IF(ABS(K32-AA32)&gt;Parametri!$C$11,"ERRORE","OK")</f>
        <v/>
      </c>
      <c r="AM32" s="4">
        <f>IF(ABS(O32-AB32)&gt;Parametri!$C$11,"ERRORE","OK")</f>
        <v/>
      </c>
      <c r="AN32" s="4">
        <f>IF(ABS(T32-AC32)&gt;Parametri!$C$11,"ERRORE","OK")</f>
        <v/>
      </c>
      <c r="AO32" s="4">
        <f>IF(ABS(W32-AE32)&gt;Parametri!$C$12,"ERRORE","OK")</f>
        <v/>
      </c>
      <c r="AP32" s="4">
        <f>IF(OR(ABS(N32-AF32)&gt;Parametri!$C$11,ABS(S32-AG32)&gt;Parametri!$C$11),"ERRORE","OK")</f>
        <v/>
      </c>
      <c r="AQ32" s="4">
        <f>IF(AI32="","OK",IF(AND(ABS(AI32)&gt;Parametri!$C$10,G32=""),"ERRORE","OK"))</f>
        <v/>
      </c>
      <c r="AR32" s="4">
        <f>IF(AND(LEN(C32)=16,RIGHT(C32,1)=AJ32),"OK","ERRORE")</f>
        <v/>
      </c>
      <c r="AS32" s="12">
        <f>COUNTIF(AK32:AR32,"ERRORE")</f>
        <v/>
      </c>
    </row>
    <row r="33">
      <c r="A33" s="15" t="inlineStr">
        <is>
          <t>B029</t>
        </is>
      </c>
      <c r="B33" s="15" t="inlineStr">
        <is>
          <t>B</t>
        </is>
      </c>
      <c r="C33" s="15" t="inlineStr">
        <is>
          <t>PFZZTR85P64Z257Z</t>
        </is>
      </c>
      <c r="D33" s="15" t="inlineStr">
        <is>
          <t>5</t>
        </is>
      </c>
      <c r="E33" s="16" t="n">
        <v>40991</v>
      </c>
      <c r="F33" s="17" t="n">
        <v>0.5</v>
      </c>
      <c r="G33" s="15" t="inlineStr"/>
      <c r="H33" s="15" t="b">
        <v>1</v>
      </c>
      <c r="I33" s="17" t="n">
        <v>829.01</v>
      </c>
      <c r="J33" s="15" t="n">
        <v>4</v>
      </c>
      <c r="K33" s="17" t="n">
        <v>40.6</v>
      </c>
      <c r="L33" s="17" t="n">
        <v>0</v>
      </c>
      <c r="M33" s="17" t="n">
        <v>0</v>
      </c>
      <c r="N33" s="17" t="n">
        <v>869.61</v>
      </c>
      <c r="O33" s="17" t="n">
        <v>79.92</v>
      </c>
      <c r="P33" s="17" t="n">
        <v>789.6900000000001</v>
      </c>
      <c r="Q33" s="17" t="n">
        <v>18.71</v>
      </c>
      <c r="R33" s="17" t="n">
        <v>11.85</v>
      </c>
      <c r="S33" s="17" t="n">
        <v>759.13</v>
      </c>
      <c r="T33" s="17" t="n">
        <v>75.15000000000001</v>
      </c>
      <c r="U33" s="18" t="n">
        <v>2.1667</v>
      </c>
      <c r="V33" s="18" t="n">
        <v>1</v>
      </c>
      <c r="W33" s="18" t="n">
        <v>9.9254</v>
      </c>
      <c r="X33" s="19">
        <f>ROUND(INDEX(CCNL!$F$5:$F$12,MATCH(D33,CCNL!$A$5:$A$12,0))*F33,2)</f>
        <v/>
      </c>
      <c r="Y33" s="4">
        <f>(YEAR(Parametri!$C$5)*12+MONTH(Parametri!$C$5))-(YEAR(E33)*12+MONTH(E33))</f>
        <v/>
      </c>
      <c r="Z33" s="4">
        <f>MIN(Parametri!$C$13,MAX(0,INT((Y33-1)/36)))</f>
        <v/>
      </c>
      <c r="AA33" s="19">
        <f>ROUND(INDEX(CCNL!$I$5:$I$12,MATCH(D33,CCNL!$A$5:$A$12,0))*Z33*F33,2)</f>
        <v/>
      </c>
      <c r="AB33" s="19">
        <f>ROUND(N33*Parametri!$C$6,2)</f>
        <v/>
      </c>
      <c r="AC33" s="19">
        <f>ROUND((I33+K33+L33)*Parametri!$C$8/Parametri!$C$7/12,2)</f>
        <v/>
      </c>
      <c r="AD33" s="20">
        <f>IFERROR(INDEX(Agosto!$D$5:$D$173,MATCH(A33,Agosto!$A$5:$A$173,0)),0)</f>
        <v/>
      </c>
      <c r="AE33" s="21">
        <f>ROUND(AD33+ROUND(Parametri!$C$9/12,4)-V33,4)</f>
        <v/>
      </c>
      <c r="AF33" s="19">
        <f>ROUND(I33+K33+L33+M33,2)</f>
        <v/>
      </c>
      <c r="AG33" s="19">
        <f>ROUND(N33-O33-Q33-R33,2)</f>
        <v/>
      </c>
      <c r="AH33" s="22">
        <f>IFERROR(INDEX(Agosto!$C$5:$C$173,MATCH(A33,Agosto!$A$5:$A$173,0)),"")</f>
        <v/>
      </c>
      <c r="AI33" s="23">
        <f>IF(AH33="","",S33/AH33-1)</f>
        <v/>
      </c>
      <c r="AJ33" s="4">
        <f>CHAR(65+MOD(SUMPRODUCT(SUMIF('Codice fiscale'!$A$5:$A$40,MID(C33,{1,3,5,7,9,11,13,15},1),'Codice fiscale'!$B$5:$B$40))+SUMPRODUCT(SUMIF('Codice fiscale'!$A$5:$A$40,MID(C33,{2,4,6,8,10,12,14},1),'Codice fiscale'!$C$5:$C$40)),26))</f>
        <v/>
      </c>
      <c r="AK33" s="4">
        <f>IF(ABS(I33-X33)&gt;Parametri!$C$11,"ERRORE","OK")</f>
        <v/>
      </c>
      <c r="AL33" s="4">
        <f>IF(ABS(K33-AA33)&gt;Parametri!$C$11,"ERRORE","OK")</f>
        <v/>
      </c>
      <c r="AM33" s="4">
        <f>IF(ABS(O33-AB33)&gt;Parametri!$C$11,"ERRORE","OK")</f>
        <v/>
      </c>
      <c r="AN33" s="4">
        <f>IF(ABS(T33-AC33)&gt;Parametri!$C$11,"ERRORE","OK")</f>
        <v/>
      </c>
      <c r="AO33" s="4">
        <f>IF(ABS(W33-AE33)&gt;Parametri!$C$12,"ERRORE","OK")</f>
        <v/>
      </c>
      <c r="AP33" s="4">
        <f>IF(OR(ABS(N33-AF33)&gt;Parametri!$C$11,ABS(S33-AG33)&gt;Parametri!$C$11),"ERRORE","OK")</f>
        <v/>
      </c>
      <c r="AQ33" s="4">
        <f>IF(AI33="","OK",IF(AND(ABS(AI33)&gt;Parametri!$C$10,G33=""),"ERRORE","OK"))</f>
        <v/>
      </c>
      <c r="AR33" s="4">
        <f>IF(AND(LEN(C33)=16,RIGHT(C33,1)=AJ33),"OK","ERRORE")</f>
        <v/>
      </c>
      <c r="AS33" s="12">
        <f>COUNTIF(AK33:AR33,"ERRORE")</f>
        <v/>
      </c>
    </row>
    <row r="34">
      <c r="A34" s="15" t="inlineStr">
        <is>
          <t>B030</t>
        </is>
      </c>
      <c r="B34" s="15" t="inlineStr">
        <is>
          <t>B</t>
        </is>
      </c>
      <c r="C34" s="15" t="inlineStr">
        <is>
          <t>TMLPGG86P17Z121J</t>
        </is>
      </c>
      <c r="D34" s="15" t="inlineStr">
        <is>
          <t>7</t>
        </is>
      </c>
      <c r="E34" s="16" t="n">
        <v>45967</v>
      </c>
      <c r="F34" s="17" t="n">
        <v>1</v>
      </c>
      <c r="G34" s="15" t="inlineStr"/>
      <c r="H34" s="15" t="b">
        <v>0</v>
      </c>
      <c r="I34" s="17" t="n">
        <v>1395.89</v>
      </c>
      <c r="J34" s="15" t="n">
        <v>0</v>
      </c>
      <c r="K34" s="17" t="n">
        <v>0</v>
      </c>
      <c r="L34" s="17" t="n">
        <v>0</v>
      </c>
      <c r="M34" s="17" t="n">
        <v>0</v>
      </c>
      <c r="N34" s="17" t="n">
        <v>1395.89</v>
      </c>
      <c r="O34" s="17" t="n">
        <v>128.28</v>
      </c>
      <c r="P34" s="17" t="n">
        <v>1267.61</v>
      </c>
      <c r="Q34" s="17" t="n">
        <v>129.34</v>
      </c>
      <c r="R34" s="17" t="n">
        <v>19.01</v>
      </c>
      <c r="S34" s="17" t="n">
        <v>1119.26</v>
      </c>
      <c r="T34" s="17" t="n">
        <v>120.63</v>
      </c>
      <c r="U34" s="18" t="n">
        <v>2.1667</v>
      </c>
      <c r="V34" s="18" t="n">
        <v>1</v>
      </c>
      <c r="W34" s="18" t="n">
        <v>12.553</v>
      </c>
      <c r="X34" s="19">
        <f>ROUND(INDEX(CCNL!$F$5:$F$12,MATCH(D34,CCNL!$A$5:$A$12,0))*F34,2)</f>
        <v/>
      </c>
      <c r="Y34" s="4">
        <f>(YEAR(Parametri!$C$5)*12+MONTH(Parametri!$C$5))-(YEAR(E34)*12+MONTH(E34))</f>
        <v/>
      </c>
      <c r="Z34" s="4">
        <f>MIN(Parametri!$C$13,MAX(0,INT((Y34-1)/36)))</f>
        <v/>
      </c>
      <c r="AA34" s="19">
        <f>ROUND(INDEX(CCNL!$I$5:$I$12,MATCH(D34,CCNL!$A$5:$A$12,0))*Z34*F34,2)</f>
        <v/>
      </c>
      <c r="AB34" s="19">
        <f>ROUND(N34*Parametri!$C$6,2)</f>
        <v/>
      </c>
      <c r="AC34" s="19">
        <f>ROUND((I34+K34+L34)*Parametri!$C$8/Parametri!$C$7/12,2)</f>
        <v/>
      </c>
      <c r="AD34" s="20">
        <f>IFERROR(INDEX(Agosto!$D$5:$D$173,MATCH(A34,Agosto!$A$5:$A$173,0)),0)</f>
        <v/>
      </c>
      <c r="AE34" s="21">
        <f>ROUND(AD34+ROUND(Parametri!$C$9/12,4)-V34,4)</f>
        <v/>
      </c>
      <c r="AF34" s="19">
        <f>ROUND(I34+K34+L34+M34,2)</f>
        <v/>
      </c>
      <c r="AG34" s="19">
        <f>ROUND(N34-O34-Q34-R34,2)</f>
        <v/>
      </c>
      <c r="AH34" s="22">
        <f>IFERROR(INDEX(Agosto!$C$5:$C$173,MATCH(A34,Agosto!$A$5:$A$173,0)),"")</f>
        <v/>
      </c>
      <c r="AI34" s="23">
        <f>IF(AH34="","",S34/AH34-1)</f>
        <v/>
      </c>
      <c r="AJ34" s="4">
        <f>CHAR(65+MOD(SUMPRODUCT(SUMIF('Codice fiscale'!$A$5:$A$40,MID(C34,{1,3,5,7,9,11,13,15},1),'Codice fiscale'!$B$5:$B$40))+SUMPRODUCT(SUMIF('Codice fiscale'!$A$5:$A$40,MID(C34,{2,4,6,8,10,12,14},1),'Codice fiscale'!$C$5:$C$40)),26))</f>
        <v/>
      </c>
      <c r="AK34" s="4">
        <f>IF(ABS(I34-X34)&gt;Parametri!$C$11,"ERRORE","OK")</f>
        <v/>
      </c>
      <c r="AL34" s="4">
        <f>IF(ABS(K34-AA34)&gt;Parametri!$C$11,"ERRORE","OK")</f>
        <v/>
      </c>
      <c r="AM34" s="4">
        <f>IF(ABS(O34-AB34)&gt;Parametri!$C$11,"ERRORE","OK")</f>
        <v/>
      </c>
      <c r="AN34" s="4">
        <f>IF(ABS(T34-AC34)&gt;Parametri!$C$11,"ERRORE","OK")</f>
        <v/>
      </c>
      <c r="AO34" s="4">
        <f>IF(ABS(W34-AE34)&gt;Parametri!$C$12,"ERRORE","OK")</f>
        <v/>
      </c>
      <c r="AP34" s="4">
        <f>IF(OR(ABS(N34-AF34)&gt;Parametri!$C$11,ABS(S34-AG34)&gt;Parametri!$C$11),"ERRORE","OK")</f>
        <v/>
      </c>
      <c r="AQ34" s="4">
        <f>IF(AI34="","OK",IF(AND(ABS(AI34)&gt;Parametri!$C$10,G34=""),"ERRORE","OK"))</f>
        <v/>
      </c>
      <c r="AR34" s="4">
        <f>IF(AND(LEN(C34)=16,RIGHT(C34,1)=AJ34),"OK","ERRORE")</f>
        <v/>
      </c>
      <c r="AS34" s="12">
        <f>COUNTIF(AK34:AR34,"ERRORE")</f>
        <v/>
      </c>
    </row>
    <row r="35">
      <c r="A35" s="15" t="inlineStr">
        <is>
          <t>B031</t>
        </is>
      </c>
      <c r="B35" s="15" t="inlineStr">
        <is>
          <t>B</t>
        </is>
      </c>
      <c r="C35" s="15" t="inlineStr">
        <is>
          <t>TSBZRS74C10Z345E</t>
        </is>
      </c>
      <c r="D35" s="15" t="inlineStr">
        <is>
          <t>4</t>
        </is>
      </c>
      <c r="E35" s="16" t="n">
        <v>41527</v>
      </c>
      <c r="F35" s="17" t="n">
        <v>0.5</v>
      </c>
      <c r="G35" s="15" t="inlineStr"/>
      <c r="H35" s="15" t="b">
        <v>0</v>
      </c>
      <c r="I35" s="17" t="n">
        <v>873.34</v>
      </c>
      <c r="J35" s="15" t="n">
        <v>4</v>
      </c>
      <c r="K35" s="17" t="n">
        <v>41.32</v>
      </c>
      <c r="L35" s="17" t="n">
        <v>25</v>
      </c>
      <c r="M35" s="17" t="n">
        <v>0</v>
      </c>
      <c r="N35" s="17" t="n">
        <v>939.66</v>
      </c>
      <c r="O35" s="17" t="n">
        <v>86.34999999999999</v>
      </c>
      <c r="P35" s="17" t="n">
        <v>853.3099999999999</v>
      </c>
      <c r="Q35" s="17" t="n">
        <v>33.34</v>
      </c>
      <c r="R35" s="17" t="n">
        <v>12.8</v>
      </c>
      <c r="S35" s="17" t="n">
        <v>807.17</v>
      </c>
      <c r="T35" s="17" t="n">
        <v>81.20999999999999</v>
      </c>
      <c r="U35" s="18" t="n">
        <v>2.1667</v>
      </c>
      <c r="V35" s="18" t="n">
        <v>0</v>
      </c>
      <c r="W35" s="18" t="n">
        <v>4.921</v>
      </c>
      <c r="X35" s="19">
        <f>ROUND(INDEX(CCNL!$F$5:$F$12,MATCH(D35,CCNL!$A$5:$A$12,0))*F35,2)</f>
        <v/>
      </c>
      <c r="Y35" s="4">
        <f>(YEAR(Parametri!$C$5)*12+MONTH(Parametri!$C$5))-(YEAR(E35)*12+MONTH(E35))</f>
        <v/>
      </c>
      <c r="Z35" s="4">
        <f>MIN(Parametri!$C$13,MAX(0,INT((Y35-1)/36)))</f>
        <v/>
      </c>
      <c r="AA35" s="19">
        <f>ROUND(INDEX(CCNL!$I$5:$I$12,MATCH(D35,CCNL!$A$5:$A$12,0))*Z35*F35,2)</f>
        <v/>
      </c>
      <c r="AB35" s="19">
        <f>ROUND(N35*Parametri!$C$6,2)</f>
        <v/>
      </c>
      <c r="AC35" s="19">
        <f>ROUND((I35+K35+L35)*Parametri!$C$8/Parametri!$C$7/12,2)</f>
        <v/>
      </c>
      <c r="AD35" s="20">
        <f>IFERROR(INDEX(Agosto!$D$5:$D$173,MATCH(A35,Agosto!$A$5:$A$173,0)),0)</f>
        <v/>
      </c>
      <c r="AE35" s="21">
        <f>ROUND(AD35+ROUND(Parametri!$C$9/12,4)-V35,4)</f>
        <v/>
      </c>
      <c r="AF35" s="19">
        <f>ROUND(I35+K35+L35+M35,2)</f>
        <v/>
      </c>
      <c r="AG35" s="19">
        <f>ROUND(N35-O35-Q35-R35,2)</f>
        <v/>
      </c>
      <c r="AH35" s="22">
        <f>IFERROR(INDEX(Agosto!$C$5:$C$173,MATCH(A35,Agosto!$A$5:$A$173,0)),"")</f>
        <v/>
      </c>
      <c r="AI35" s="23">
        <f>IF(AH35="","",S35/AH35-1)</f>
        <v/>
      </c>
      <c r="AJ35" s="4">
        <f>CHAR(65+MOD(SUMPRODUCT(SUMIF('Codice fiscale'!$A$5:$A$40,MID(C35,{1,3,5,7,9,11,13,15},1),'Codice fiscale'!$B$5:$B$40))+SUMPRODUCT(SUMIF('Codice fiscale'!$A$5:$A$40,MID(C35,{2,4,6,8,10,12,14},1),'Codice fiscale'!$C$5:$C$40)),26))</f>
        <v/>
      </c>
      <c r="AK35" s="4">
        <f>IF(ABS(I35-X35)&gt;Parametri!$C$11,"ERRORE","OK")</f>
        <v/>
      </c>
      <c r="AL35" s="4">
        <f>IF(ABS(K35-AA35)&gt;Parametri!$C$11,"ERRORE","OK")</f>
        <v/>
      </c>
      <c r="AM35" s="4">
        <f>IF(ABS(O35-AB35)&gt;Parametri!$C$11,"ERRORE","OK")</f>
        <v/>
      </c>
      <c r="AN35" s="4">
        <f>IF(ABS(T35-AC35)&gt;Parametri!$C$11,"ERRORE","OK")</f>
        <v/>
      </c>
      <c r="AO35" s="4">
        <f>IF(ABS(W35-AE35)&gt;Parametri!$C$12,"ERRORE","OK")</f>
        <v/>
      </c>
      <c r="AP35" s="4">
        <f>IF(OR(ABS(N35-AF35)&gt;Parametri!$C$11,ABS(S35-AG35)&gt;Parametri!$C$11),"ERRORE","OK")</f>
        <v/>
      </c>
      <c r="AQ35" s="4">
        <f>IF(AI35="","OK",IF(AND(ABS(AI35)&gt;Parametri!$C$10,G35=""),"ERRORE","OK"))</f>
        <v/>
      </c>
      <c r="AR35" s="4">
        <f>IF(AND(LEN(C35)=16,RIGHT(C35,1)=AJ35),"OK","ERRORE")</f>
        <v/>
      </c>
      <c r="AS35" s="12">
        <f>COUNTIF(AK35:AR35,"ERRORE")</f>
        <v/>
      </c>
    </row>
    <row r="36">
      <c r="A36" s="15" t="inlineStr">
        <is>
          <t>B032</t>
        </is>
      </c>
      <c r="B36" s="15" t="inlineStr">
        <is>
          <t>B</t>
        </is>
      </c>
      <c r="C36" s="15" t="inlineStr">
        <is>
          <t>CPSTSV96C64Z101A</t>
        </is>
      </c>
      <c r="D36" s="15" t="inlineStr">
        <is>
          <t>4</t>
        </is>
      </c>
      <c r="E36" s="16" t="n">
        <v>44932</v>
      </c>
      <c r="F36" s="17" t="n">
        <v>1</v>
      </c>
      <c r="G36" s="15" t="inlineStr"/>
      <c r="H36" s="15" t="b">
        <v>0</v>
      </c>
      <c r="I36" s="17" t="n">
        <v>1781.68</v>
      </c>
      <c r="J36" s="15" t="n">
        <v>1</v>
      </c>
      <c r="K36" s="17" t="n">
        <v>20.66</v>
      </c>
      <c r="L36" s="17" t="n">
        <v>0</v>
      </c>
      <c r="M36" s="17" t="n">
        <v>0</v>
      </c>
      <c r="N36" s="17" t="n">
        <v>1802.34</v>
      </c>
      <c r="O36" s="17" t="n">
        <v>165.64</v>
      </c>
      <c r="P36" s="17" t="n">
        <v>1636.7</v>
      </c>
      <c r="Q36" s="17" t="n">
        <v>228.99</v>
      </c>
      <c r="R36" s="17" t="n">
        <v>24.55</v>
      </c>
      <c r="S36" s="17" t="n">
        <v>1383.16</v>
      </c>
      <c r="T36" s="17" t="n">
        <v>155.76</v>
      </c>
      <c r="U36" s="18" t="n">
        <v>2.1667</v>
      </c>
      <c r="V36" s="18" t="n">
        <v>0</v>
      </c>
      <c r="W36" s="18" t="n">
        <v>23.3762</v>
      </c>
      <c r="X36" s="19">
        <f>ROUND(INDEX(CCNL!$F$5:$F$12,MATCH(D36,CCNL!$A$5:$A$12,0))*F36,2)</f>
        <v/>
      </c>
      <c r="Y36" s="4">
        <f>(YEAR(Parametri!$C$5)*12+MONTH(Parametri!$C$5))-(YEAR(E36)*12+MONTH(E36))</f>
        <v/>
      </c>
      <c r="Z36" s="4">
        <f>MIN(Parametri!$C$13,MAX(0,INT((Y36-1)/36)))</f>
        <v/>
      </c>
      <c r="AA36" s="19">
        <f>ROUND(INDEX(CCNL!$I$5:$I$12,MATCH(D36,CCNL!$A$5:$A$12,0))*Z36*F36,2)</f>
        <v/>
      </c>
      <c r="AB36" s="19">
        <f>ROUND(N36*Parametri!$C$6,2)</f>
        <v/>
      </c>
      <c r="AC36" s="19">
        <f>ROUND((I36+K36+L36)*Parametri!$C$8/Parametri!$C$7/12,2)</f>
        <v/>
      </c>
      <c r="AD36" s="20">
        <f>IFERROR(INDEX(Agosto!$D$5:$D$173,MATCH(A36,Agosto!$A$5:$A$173,0)),0)</f>
        <v/>
      </c>
      <c r="AE36" s="21">
        <f>ROUND(AD36+ROUND(Parametri!$C$9/12,4)-V36,4)</f>
        <v/>
      </c>
      <c r="AF36" s="19">
        <f>ROUND(I36+K36+L36+M36,2)</f>
        <v/>
      </c>
      <c r="AG36" s="19">
        <f>ROUND(N36-O36-Q36-R36,2)</f>
        <v/>
      </c>
      <c r="AH36" s="22">
        <f>IFERROR(INDEX(Agosto!$C$5:$C$173,MATCH(A36,Agosto!$A$5:$A$173,0)),"")</f>
        <v/>
      </c>
      <c r="AI36" s="23">
        <f>IF(AH36="","",S36/AH36-1)</f>
        <v/>
      </c>
      <c r="AJ36" s="4">
        <f>CHAR(65+MOD(SUMPRODUCT(SUMIF('Codice fiscale'!$A$5:$A$40,MID(C36,{1,3,5,7,9,11,13,15},1),'Codice fiscale'!$B$5:$B$40))+SUMPRODUCT(SUMIF('Codice fiscale'!$A$5:$A$40,MID(C36,{2,4,6,8,10,12,14},1),'Codice fiscale'!$C$5:$C$40)),26))</f>
        <v/>
      </c>
      <c r="AK36" s="4">
        <f>IF(ABS(I36-X36)&gt;Parametri!$C$11,"ERRORE","OK")</f>
        <v/>
      </c>
      <c r="AL36" s="4">
        <f>IF(ABS(K36-AA36)&gt;Parametri!$C$11,"ERRORE","OK")</f>
        <v/>
      </c>
      <c r="AM36" s="4">
        <f>IF(ABS(O36-AB36)&gt;Parametri!$C$11,"ERRORE","OK")</f>
        <v/>
      </c>
      <c r="AN36" s="4">
        <f>IF(ABS(T36-AC36)&gt;Parametri!$C$11,"ERRORE","OK")</f>
        <v/>
      </c>
      <c r="AO36" s="4">
        <f>IF(ABS(W36-AE36)&gt;Parametri!$C$12,"ERRORE","OK")</f>
        <v/>
      </c>
      <c r="AP36" s="4">
        <f>IF(OR(ABS(N36-AF36)&gt;Parametri!$C$11,ABS(S36-AG36)&gt;Parametri!$C$11),"ERRORE","OK")</f>
        <v/>
      </c>
      <c r="AQ36" s="4">
        <f>IF(AI36="","OK",IF(AND(ABS(AI36)&gt;Parametri!$C$10,G36=""),"ERRORE","OK"))</f>
        <v/>
      </c>
      <c r="AR36" s="4">
        <f>IF(AND(LEN(C36)=16,RIGHT(C36,1)=AJ36),"OK","ERRORE")</f>
        <v/>
      </c>
      <c r="AS36" s="12">
        <f>COUNTIF(AK36:AR36,"ERRORE")</f>
        <v/>
      </c>
    </row>
    <row r="37">
      <c r="A37" s="15" t="inlineStr">
        <is>
          <t>B033</t>
        </is>
      </c>
      <c r="B37" s="15" t="inlineStr">
        <is>
          <t>B</t>
        </is>
      </c>
      <c r="C37" s="15" t="inlineStr">
        <is>
          <t>NCZZTC81D58Z295H</t>
        </is>
      </c>
      <c r="D37" s="15" t="inlineStr">
        <is>
          <t>3</t>
        </is>
      </c>
      <c r="E37" s="16" t="n">
        <v>38280</v>
      </c>
      <c r="F37" s="17" t="n">
        <v>1</v>
      </c>
      <c r="G37" s="15" t="inlineStr"/>
      <c r="H37" s="15" t="b">
        <v>1</v>
      </c>
      <c r="I37" s="17" t="n">
        <v>1981.84</v>
      </c>
      <c r="J37" s="15" t="n">
        <v>7</v>
      </c>
      <c r="K37" s="17" t="n">
        <v>153.65</v>
      </c>
      <c r="L37" s="17" t="n">
        <v>120</v>
      </c>
      <c r="M37" s="17" t="n">
        <v>0</v>
      </c>
      <c r="N37" s="17" t="n">
        <v>2255.49</v>
      </c>
      <c r="O37" s="17" t="n">
        <v>207.28</v>
      </c>
      <c r="P37" s="17" t="n">
        <v>2048.21</v>
      </c>
      <c r="Q37" s="17" t="n">
        <v>340.1</v>
      </c>
      <c r="R37" s="17" t="n">
        <v>30.72</v>
      </c>
      <c r="S37" s="17" t="n">
        <v>1677.39</v>
      </c>
      <c r="T37" s="17" t="n">
        <v>171.27</v>
      </c>
      <c r="U37" s="18" t="n">
        <v>2.1667</v>
      </c>
      <c r="V37" s="18" t="n">
        <v>2</v>
      </c>
      <c r="W37" s="18" t="n">
        <v>10.463</v>
      </c>
      <c r="X37" s="19">
        <f>ROUND(INDEX(CCNL!$F$5:$F$12,MATCH(D37,CCNL!$A$5:$A$12,0))*F37,2)</f>
        <v/>
      </c>
      <c r="Y37" s="4">
        <f>(YEAR(Parametri!$C$5)*12+MONTH(Parametri!$C$5))-(YEAR(E37)*12+MONTH(E37))</f>
        <v/>
      </c>
      <c r="Z37" s="4">
        <f>MIN(Parametri!$C$13,MAX(0,INT((Y37-1)/36)))</f>
        <v/>
      </c>
      <c r="AA37" s="19">
        <f>ROUND(INDEX(CCNL!$I$5:$I$12,MATCH(D37,CCNL!$A$5:$A$12,0))*Z37*F37,2)</f>
        <v/>
      </c>
      <c r="AB37" s="19">
        <f>ROUND(N37*Parametri!$C$6,2)</f>
        <v/>
      </c>
      <c r="AC37" s="19">
        <f>ROUND((I37+K37+L37)*Parametri!$C$8/Parametri!$C$7/12,2)</f>
        <v/>
      </c>
      <c r="AD37" s="20">
        <f>IFERROR(INDEX(Agosto!$D$5:$D$173,MATCH(A37,Agosto!$A$5:$A$173,0)),0)</f>
        <v/>
      </c>
      <c r="AE37" s="21">
        <f>ROUND(AD37+ROUND(Parametri!$C$9/12,4)-V37,4)</f>
        <v/>
      </c>
      <c r="AF37" s="19">
        <f>ROUND(I37+K37+L37+M37,2)</f>
        <v/>
      </c>
      <c r="AG37" s="19">
        <f>ROUND(N37-O37-Q37-R37,2)</f>
        <v/>
      </c>
      <c r="AH37" s="22">
        <f>IFERROR(INDEX(Agosto!$C$5:$C$173,MATCH(A37,Agosto!$A$5:$A$173,0)),"")</f>
        <v/>
      </c>
      <c r="AI37" s="23">
        <f>IF(AH37="","",S37/AH37-1)</f>
        <v/>
      </c>
      <c r="AJ37" s="4">
        <f>CHAR(65+MOD(SUMPRODUCT(SUMIF('Codice fiscale'!$A$5:$A$40,MID(C37,{1,3,5,7,9,11,13,15},1),'Codice fiscale'!$B$5:$B$40))+SUMPRODUCT(SUMIF('Codice fiscale'!$A$5:$A$40,MID(C37,{2,4,6,8,10,12,14},1),'Codice fiscale'!$C$5:$C$40)),26))</f>
        <v/>
      </c>
      <c r="AK37" s="4">
        <f>IF(ABS(I37-X37)&gt;Parametri!$C$11,"ERRORE","OK")</f>
        <v/>
      </c>
      <c r="AL37" s="4">
        <f>IF(ABS(K37-AA37)&gt;Parametri!$C$11,"ERRORE","OK")</f>
        <v/>
      </c>
      <c r="AM37" s="4">
        <f>IF(ABS(O37-AB37)&gt;Parametri!$C$11,"ERRORE","OK")</f>
        <v/>
      </c>
      <c r="AN37" s="4">
        <f>IF(ABS(T37-AC37)&gt;Parametri!$C$11,"ERRORE","OK")</f>
        <v/>
      </c>
      <c r="AO37" s="4">
        <f>IF(ABS(W37-AE37)&gt;Parametri!$C$12,"ERRORE","OK")</f>
        <v/>
      </c>
      <c r="AP37" s="4">
        <f>IF(OR(ABS(N37-AF37)&gt;Parametri!$C$11,ABS(S37-AG37)&gt;Parametri!$C$11),"ERRORE","OK")</f>
        <v/>
      </c>
      <c r="AQ37" s="4">
        <f>IF(AI37="","OK",IF(AND(ABS(AI37)&gt;Parametri!$C$10,G37=""),"ERRORE","OK"))</f>
        <v/>
      </c>
      <c r="AR37" s="4">
        <f>IF(AND(LEN(C37)=16,RIGHT(C37,1)=AJ37),"OK","ERRORE")</f>
        <v/>
      </c>
      <c r="AS37" s="12">
        <f>COUNTIF(AK37:AR37,"ERRORE")</f>
        <v/>
      </c>
    </row>
    <row r="38">
      <c r="A38" s="15" t="inlineStr">
        <is>
          <t>B034</t>
        </is>
      </c>
      <c r="B38" s="15" t="inlineStr">
        <is>
          <t>B</t>
        </is>
      </c>
      <c r="C38" s="15" t="inlineStr">
        <is>
          <t>RLCCVC69H56Z353N</t>
        </is>
      </c>
      <c r="D38" s="15" t="inlineStr">
        <is>
          <t>4</t>
        </is>
      </c>
      <c r="E38" s="16" t="n">
        <v>46071</v>
      </c>
      <c r="F38" s="17" t="n">
        <v>0.75</v>
      </c>
      <c r="G38" s="15" t="inlineStr"/>
      <c r="H38" s="15" t="b">
        <v>0</v>
      </c>
      <c r="I38" s="17" t="n">
        <v>1336.26</v>
      </c>
      <c r="J38" s="15" t="n">
        <v>0</v>
      </c>
      <c r="K38" s="17" t="n">
        <v>0</v>
      </c>
      <c r="L38" s="17" t="n">
        <v>150</v>
      </c>
      <c r="M38" s="17" t="n">
        <v>0</v>
      </c>
      <c r="N38" s="17" t="n">
        <v>1486.26</v>
      </c>
      <c r="O38" s="17" t="n">
        <v>136.59</v>
      </c>
      <c r="P38" s="17" t="n">
        <v>1349.67</v>
      </c>
      <c r="Q38" s="17" t="n">
        <v>151.49</v>
      </c>
      <c r="R38" s="17" t="n">
        <v>20.25</v>
      </c>
      <c r="S38" s="17" t="n">
        <v>1177.93</v>
      </c>
      <c r="T38" s="17" t="n">
        <v>128.44</v>
      </c>
      <c r="U38" s="18" t="n">
        <v>2.1667</v>
      </c>
      <c r="V38" s="18" t="n">
        <v>0</v>
      </c>
      <c r="W38" s="18" t="n">
        <v>13.4269</v>
      </c>
      <c r="X38" s="19">
        <f>ROUND(INDEX(CCNL!$F$5:$F$12,MATCH(D38,CCNL!$A$5:$A$12,0))*F38,2)</f>
        <v/>
      </c>
      <c r="Y38" s="4">
        <f>(YEAR(Parametri!$C$5)*12+MONTH(Parametri!$C$5))-(YEAR(E38)*12+MONTH(E38))</f>
        <v/>
      </c>
      <c r="Z38" s="4">
        <f>MIN(Parametri!$C$13,MAX(0,INT((Y38-1)/36)))</f>
        <v/>
      </c>
      <c r="AA38" s="19">
        <f>ROUND(INDEX(CCNL!$I$5:$I$12,MATCH(D38,CCNL!$A$5:$A$12,0))*Z38*F38,2)</f>
        <v/>
      </c>
      <c r="AB38" s="19">
        <f>ROUND(N38*Parametri!$C$6,2)</f>
        <v/>
      </c>
      <c r="AC38" s="19">
        <f>ROUND((I38+K38+L38)*Parametri!$C$8/Parametri!$C$7/12,2)</f>
        <v/>
      </c>
      <c r="AD38" s="20">
        <f>IFERROR(INDEX(Agosto!$D$5:$D$173,MATCH(A38,Agosto!$A$5:$A$173,0)),0)</f>
        <v/>
      </c>
      <c r="AE38" s="21">
        <f>ROUND(AD38+ROUND(Parametri!$C$9/12,4)-V38,4)</f>
        <v/>
      </c>
      <c r="AF38" s="19">
        <f>ROUND(I38+K38+L38+M38,2)</f>
        <v/>
      </c>
      <c r="AG38" s="19">
        <f>ROUND(N38-O38-Q38-R38,2)</f>
        <v/>
      </c>
      <c r="AH38" s="22">
        <f>IFERROR(INDEX(Agosto!$C$5:$C$173,MATCH(A38,Agosto!$A$5:$A$173,0)),"")</f>
        <v/>
      </c>
      <c r="AI38" s="23">
        <f>IF(AH38="","",S38/AH38-1)</f>
        <v/>
      </c>
      <c r="AJ38" s="4">
        <f>CHAR(65+MOD(SUMPRODUCT(SUMIF('Codice fiscale'!$A$5:$A$40,MID(C38,{1,3,5,7,9,11,13,15},1),'Codice fiscale'!$B$5:$B$40))+SUMPRODUCT(SUMIF('Codice fiscale'!$A$5:$A$40,MID(C38,{2,4,6,8,10,12,14},1),'Codice fiscale'!$C$5:$C$40)),26))</f>
        <v/>
      </c>
      <c r="AK38" s="4">
        <f>IF(ABS(I38-X38)&gt;Parametri!$C$11,"ERRORE","OK")</f>
        <v/>
      </c>
      <c r="AL38" s="4">
        <f>IF(ABS(K38-AA38)&gt;Parametri!$C$11,"ERRORE","OK")</f>
        <v/>
      </c>
      <c r="AM38" s="4">
        <f>IF(ABS(O38-AB38)&gt;Parametri!$C$11,"ERRORE","OK")</f>
        <v/>
      </c>
      <c r="AN38" s="4">
        <f>IF(ABS(T38-AC38)&gt;Parametri!$C$11,"ERRORE","OK")</f>
        <v/>
      </c>
      <c r="AO38" s="4">
        <f>IF(ABS(W38-AE38)&gt;Parametri!$C$12,"ERRORE","OK")</f>
        <v/>
      </c>
      <c r="AP38" s="4">
        <f>IF(OR(ABS(N38-AF38)&gt;Parametri!$C$11,ABS(S38-AG38)&gt;Parametri!$C$11),"ERRORE","OK")</f>
        <v/>
      </c>
      <c r="AQ38" s="4">
        <f>IF(AI38="","OK",IF(AND(ABS(AI38)&gt;Parametri!$C$10,G38=""),"ERRORE","OK"))</f>
        <v/>
      </c>
      <c r="AR38" s="4">
        <f>IF(AND(LEN(C38)=16,RIGHT(C38,1)=AJ38),"OK","ERRORE")</f>
        <v/>
      </c>
      <c r="AS38" s="12">
        <f>COUNTIF(AK38:AR38,"ERRORE")</f>
        <v/>
      </c>
    </row>
    <row r="39">
      <c r="A39" s="15" t="inlineStr">
        <is>
          <t>B035</t>
        </is>
      </c>
      <c r="B39" s="15" t="inlineStr">
        <is>
          <t>B</t>
        </is>
      </c>
      <c r="C39" s="15" t="inlineStr">
        <is>
          <t>MLDFVN76C51Z212D</t>
        </is>
      </c>
      <c r="D39" s="15" t="inlineStr">
        <is>
          <t>4</t>
        </is>
      </c>
      <c r="E39" s="16" t="n">
        <v>44822</v>
      </c>
      <c r="F39" s="17" t="n">
        <v>0.5</v>
      </c>
      <c r="G39" s="15" t="inlineStr"/>
      <c r="H39" s="15" t="b">
        <v>0</v>
      </c>
      <c r="I39" s="17" t="n">
        <v>890.84</v>
      </c>
      <c r="J39" s="15" t="n">
        <v>1</v>
      </c>
      <c r="K39" s="17" t="n">
        <v>10.33</v>
      </c>
      <c r="L39" s="17" t="n">
        <v>100</v>
      </c>
      <c r="M39" s="17" t="n">
        <v>0</v>
      </c>
      <c r="N39" s="17" t="n">
        <v>1001.17</v>
      </c>
      <c r="O39" s="17" t="n">
        <v>92.01000000000001</v>
      </c>
      <c r="P39" s="17" t="n">
        <v>909.16</v>
      </c>
      <c r="Q39" s="17" t="n">
        <v>46.19</v>
      </c>
      <c r="R39" s="17" t="n">
        <v>13.64</v>
      </c>
      <c r="S39" s="17" t="n">
        <v>849.33</v>
      </c>
      <c r="T39" s="17" t="n">
        <v>86.52</v>
      </c>
      <c r="U39" s="18" t="n">
        <v>2.1667</v>
      </c>
      <c r="V39" s="18" t="n">
        <v>0</v>
      </c>
      <c r="W39" s="18" t="n">
        <v>26.6084</v>
      </c>
      <c r="X39" s="19">
        <f>ROUND(INDEX(CCNL!$F$5:$F$12,MATCH(D39,CCNL!$A$5:$A$12,0))*F39,2)</f>
        <v/>
      </c>
      <c r="Y39" s="4">
        <f>(YEAR(Parametri!$C$5)*12+MONTH(Parametri!$C$5))-(YEAR(E39)*12+MONTH(E39))</f>
        <v/>
      </c>
      <c r="Z39" s="4">
        <f>MIN(Parametri!$C$13,MAX(0,INT((Y39-1)/36)))</f>
        <v/>
      </c>
      <c r="AA39" s="19">
        <f>ROUND(INDEX(CCNL!$I$5:$I$12,MATCH(D39,CCNL!$A$5:$A$12,0))*Z39*F39,2)</f>
        <v/>
      </c>
      <c r="AB39" s="19">
        <f>ROUND(N39*Parametri!$C$6,2)</f>
        <v/>
      </c>
      <c r="AC39" s="19">
        <f>ROUND((I39+K39+L39)*Parametri!$C$8/Parametri!$C$7/12,2)</f>
        <v/>
      </c>
      <c r="AD39" s="20">
        <f>IFERROR(INDEX(Agosto!$D$5:$D$173,MATCH(A39,Agosto!$A$5:$A$173,0)),0)</f>
        <v/>
      </c>
      <c r="AE39" s="21">
        <f>ROUND(AD39+ROUND(Parametri!$C$9/12,4)-V39,4)</f>
        <v/>
      </c>
      <c r="AF39" s="19">
        <f>ROUND(I39+K39+L39+M39,2)</f>
        <v/>
      </c>
      <c r="AG39" s="19">
        <f>ROUND(N39-O39-Q39-R39,2)</f>
        <v/>
      </c>
      <c r="AH39" s="22">
        <f>IFERROR(INDEX(Agosto!$C$5:$C$173,MATCH(A39,Agosto!$A$5:$A$173,0)),"")</f>
        <v/>
      </c>
      <c r="AI39" s="23">
        <f>IF(AH39="","",S39/AH39-1)</f>
        <v/>
      </c>
      <c r="AJ39" s="4">
        <f>CHAR(65+MOD(SUMPRODUCT(SUMIF('Codice fiscale'!$A$5:$A$40,MID(C39,{1,3,5,7,9,11,13,15},1),'Codice fiscale'!$B$5:$B$40))+SUMPRODUCT(SUMIF('Codice fiscale'!$A$5:$A$40,MID(C39,{2,4,6,8,10,12,14},1),'Codice fiscale'!$C$5:$C$40)),26))</f>
        <v/>
      </c>
      <c r="AK39" s="4">
        <f>IF(ABS(I39-X39)&gt;Parametri!$C$11,"ERRORE","OK")</f>
        <v/>
      </c>
      <c r="AL39" s="4">
        <f>IF(ABS(K39-AA39)&gt;Parametri!$C$11,"ERRORE","OK")</f>
        <v/>
      </c>
      <c r="AM39" s="4">
        <f>IF(ABS(O39-AB39)&gt;Parametri!$C$11,"ERRORE","OK")</f>
        <v/>
      </c>
      <c r="AN39" s="4">
        <f>IF(ABS(T39-AC39)&gt;Parametri!$C$11,"ERRORE","OK")</f>
        <v/>
      </c>
      <c r="AO39" s="4">
        <f>IF(ABS(W39-AE39)&gt;Parametri!$C$12,"ERRORE","OK")</f>
        <v/>
      </c>
      <c r="AP39" s="4">
        <f>IF(OR(ABS(N39-AF39)&gt;Parametri!$C$11,ABS(S39-AG39)&gt;Parametri!$C$11),"ERRORE","OK")</f>
        <v/>
      </c>
      <c r="AQ39" s="4">
        <f>IF(AI39="","OK",IF(AND(ABS(AI39)&gt;Parametri!$C$10,G39=""),"ERRORE","OK"))</f>
        <v/>
      </c>
      <c r="AR39" s="4">
        <f>IF(AND(LEN(C39)=16,RIGHT(C39,1)=AJ39),"OK","ERRORE")</f>
        <v/>
      </c>
      <c r="AS39" s="12">
        <f>COUNTIF(AK39:AR39,"ERRORE")</f>
        <v/>
      </c>
    </row>
    <row r="40">
      <c r="A40" s="15" t="inlineStr">
        <is>
          <t>B036</t>
        </is>
      </c>
      <c r="B40" s="15" t="inlineStr">
        <is>
          <t>B</t>
        </is>
      </c>
      <c r="C40" s="15" t="inlineStr">
        <is>
          <t>MGLZCL84L27Z236H</t>
        </is>
      </c>
      <c r="D40" s="15" t="inlineStr">
        <is>
          <t>3</t>
        </is>
      </c>
      <c r="E40" s="16" t="n">
        <v>44384</v>
      </c>
      <c r="F40" s="17" t="n">
        <v>0.75</v>
      </c>
      <c r="G40" s="15" t="inlineStr"/>
      <c r="H40" s="15" t="b">
        <v>0</v>
      </c>
      <c r="I40" s="17" t="n">
        <v>1456.03</v>
      </c>
      <c r="J40" s="15" t="n">
        <v>1</v>
      </c>
      <c r="K40" s="17" t="n">
        <v>16.46</v>
      </c>
      <c r="L40" s="17" t="n">
        <v>0</v>
      </c>
      <c r="M40" s="17" t="n">
        <v>0</v>
      </c>
      <c r="N40" s="17" t="n">
        <v>1472.49</v>
      </c>
      <c r="O40" s="17" t="n">
        <v>135.32</v>
      </c>
      <c r="P40" s="17" t="n">
        <v>1337.17</v>
      </c>
      <c r="Q40" s="17" t="n">
        <v>148.12</v>
      </c>
      <c r="R40" s="17" t="n">
        <v>20.06</v>
      </c>
      <c r="S40" s="17" t="n">
        <v>1168.99</v>
      </c>
      <c r="T40" s="17" t="n">
        <v>127.25</v>
      </c>
      <c r="U40" s="18" t="n">
        <v>2.1667</v>
      </c>
      <c r="V40" s="18" t="n">
        <v>0</v>
      </c>
      <c r="W40" s="18" t="n">
        <v>19.0219</v>
      </c>
      <c r="X40" s="19">
        <f>ROUND(INDEX(CCNL!$F$5:$F$12,MATCH(D40,CCNL!$A$5:$A$12,0))*F40,2)</f>
        <v/>
      </c>
      <c r="Y40" s="4">
        <f>(YEAR(Parametri!$C$5)*12+MONTH(Parametri!$C$5))-(YEAR(E40)*12+MONTH(E40))</f>
        <v/>
      </c>
      <c r="Z40" s="4">
        <f>MIN(Parametri!$C$13,MAX(0,INT((Y40-1)/36)))</f>
        <v/>
      </c>
      <c r="AA40" s="19">
        <f>ROUND(INDEX(CCNL!$I$5:$I$12,MATCH(D40,CCNL!$A$5:$A$12,0))*Z40*F40,2)</f>
        <v/>
      </c>
      <c r="AB40" s="19">
        <f>ROUND(N40*Parametri!$C$6,2)</f>
        <v/>
      </c>
      <c r="AC40" s="19">
        <f>ROUND((I40+K40+L40)*Parametri!$C$8/Parametri!$C$7/12,2)</f>
        <v/>
      </c>
      <c r="AD40" s="20">
        <f>IFERROR(INDEX(Agosto!$D$5:$D$173,MATCH(A40,Agosto!$A$5:$A$173,0)),0)</f>
        <v/>
      </c>
      <c r="AE40" s="21">
        <f>ROUND(AD40+ROUND(Parametri!$C$9/12,4)-V40,4)</f>
        <v/>
      </c>
      <c r="AF40" s="19">
        <f>ROUND(I40+K40+L40+M40,2)</f>
        <v/>
      </c>
      <c r="AG40" s="19">
        <f>ROUND(N40-O40-Q40-R40,2)</f>
        <v/>
      </c>
      <c r="AH40" s="22">
        <f>IFERROR(INDEX(Agosto!$C$5:$C$173,MATCH(A40,Agosto!$A$5:$A$173,0)),"")</f>
        <v/>
      </c>
      <c r="AI40" s="23">
        <f>IF(AH40="","",S40/AH40-1)</f>
        <v/>
      </c>
      <c r="AJ40" s="4">
        <f>CHAR(65+MOD(SUMPRODUCT(SUMIF('Codice fiscale'!$A$5:$A$40,MID(C40,{1,3,5,7,9,11,13,15},1),'Codice fiscale'!$B$5:$B$40))+SUMPRODUCT(SUMIF('Codice fiscale'!$A$5:$A$40,MID(C40,{2,4,6,8,10,12,14},1),'Codice fiscale'!$C$5:$C$40)),26))</f>
        <v/>
      </c>
      <c r="AK40" s="4">
        <f>IF(ABS(I40-X40)&gt;Parametri!$C$11,"ERRORE","OK")</f>
        <v/>
      </c>
      <c r="AL40" s="4">
        <f>IF(ABS(K40-AA40)&gt;Parametri!$C$11,"ERRORE","OK")</f>
        <v/>
      </c>
      <c r="AM40" s="4">
        <f>IF(ABS(O40-AB40)&gt;Parametri!$C$11,"ERRORE","OK")</f>
        <v/>
      </c>
      <c r="AN40" s="4">
        <f>IF(ABS(T40-AC40)&gt;Parametri!$C$11,"ERRORE","OK")</f>
        <v/>
      </c>
      <c r="AO40" s="4">
        <f>IF(ABS(W40-AE40)&gt;Parametri!$C$12,"ERRORE","OK")</f>
        <v/>
      </c>
      <c r="AP40" s="4">
        <f>IF(OR(ABS(N40-AF40)&gt;Parametri!$C$11,ABS(S40-AG40)&gt;Parametri!$C$11),"ERRORE","OK")</f>
        <v/>
      </c>
      <c r="AQ40" s="4">
        <f>IF(AI40="","OK",IF(AND(ABS(AI40)&gt;Parametri!$C$10,G40=""),"ERRORE","OK"))</f>
        <v/>
      </c>
      <c r="AR40" s="4">
        <f>IF(AND(LEN(C40)=16,RIGHT(C40,1)=AJ40),"OK","ERRORE")</f>
        <v/>
      </c>
      <c r="AS40" s="12">
        <f>COUNTIF(AK40:AR40,"ERRORE")</f>
        <v/>
      </c>
    </row>
    <row r="41">
      <c r="A41" s="15" t="inlineStr">
        <is>
          <t>B037</t>
        </is>
      </c>
      <c r="B41" s="15" t="inlineStr">
        <is>
          <t>B</t>
        </is>
      </c>
      <c r="C41" s="15" t="inlineStr">
        <is>
          <t>GGRNSM71P61Z304E</t>
        </is>
      </c>
      <c r="D41" s="15" t="inlineStr">
        <is>
          <t>7</t>
        </is>
      </c>
      <c r="E41" s="16" t="n">
        <v>41010</v>
      </c>
      <c r="F41" s="17" t="n">
        <v>1</v>
      </c>
      <c r="G41" s="15" t="inlineStr"/>
      <c r="H41" s="15" t="b">
        <v>1</v>
      </c>
      <c r="I41" s="17" t="n">
        <v>1395.89</v>
      </c>
      <c r="J41" s="15" t="n">
        <v>4</v>
      </c>
      <c r="K41" s="17" t="n">
        <v>77.88</v>
      </c>
      <c r="L41" s="17" t="n">
        <v>0</v>
      </c>
      <c r="M41" s="17" t="n">
        <v>0</v>
      </c>
      <c r="N41" s="17" t="n">
        <v>1473.77</v>
      </c>
      <c r="O41" s="17" t="n">
        <v>135.44</v>
      </c>
      <c r="P41" s="17" t="n">
        <v>1338.33</v>
      </c>
      <c r="Q41" s="17" t="n">
        <v>148.43</v>
      </c>
      <c r="R41" s="17" t="n">
        <v>20.07</v>
      </c>
      <c r="S41" s="17" t="n">
        <v>1169.83</v>
      </c>
      <c r="T41" s="17" t="n">
        <v>127.36</v>
      </c>
      <c r="U41" s="18" t="n">
        <v>2.1667</v>
      </c>
      <c r="V41" s="18" t="n">
        <v>2</v>
      </c>
      <c r="W41" s="18" t="n">
        <v>7.9933</v>
      </c>
      <c r="X41" s="19">
        <f>ROUND(INDEX(CCNL!$F$5:$F$12,MATCH(D41,CCNL!$A$5:$A$12,0))*F41,2)</f>
        <v/>
      </c>
      <c r="Y41" s="4">
        <f>(YEAR(Parametri!$C$5)*12+MONTH(Parametri!$C$5))-(YEAR(E41)*12+MONTH(E41))</f>
        <v/>
      </c>
      <c r="Z41" s="4">
        <f>MIN(Parametri!$C$13,MAX(0,INT((Y41-1)/36)))</f>
        <v/>
      </c>
      <c r="AA41" s="19">
        <f>ROUND(INDEX(CCNL!$I$5:$I$12,MATCH(D41,CCNL!$A$5:$A$12,0))*Z41*F41,2)</f>
        <v/>
      </c>
      <c r="AB41" s="19">
        <f>ROUND(N41*Parametri!$C$6,2)</f>
        <v/>
      </c>
      <c r="AC41" s="19">
        <f>ROUND((I41+K41+L41)*Parametri!$C$8/Parametri!$C$7/12,2)</f>
        <v/>
      </c>
      <c r="AD41" s="20">
        <f>IFERROR(INDEX(Agosto!$D$5:$D$173,MATCH(A41,Agosto!$A$5:$A$173,0)),0)</f>
        <v/>
      </c>
      <c r="AE41" s="21">
        <f>ROUND(AD41+ROUND(Parametri!$C$9/12,4)-V41,4)</f>
        <v/>
      </c>
      <c r="AF41" s="19">
        <f>ROUND(I41+K41+L41+M41,2)</f>
        <v/>
      </c>
      <c r="AG41" s="19">
        <f>ROUND(N41-O41-Q41-R41,2)</f>
        <v/>
      </c>
      <c r="AH41" s="22">
        <f>IFERROR(INDEX(Agosto!$C$5:$C$173,MATCH(A41,Agosto!$A$5:$A$173,0)),"")</f>
        <v/>
      </c>
      <c r="AI41" s="23">
        <f>IF(AH41="","",S41/AH41-1)</f>
        <v/>
      </c>
      <c r="AJ41" s="4">
        <f>CHAR(65+MOD(SUMPRODUCT(SUMIF('Codice fiscale'!$A$5:$A$40,MID(C41,{1,3,5,7,9,11,13,15},1),'Codice fiscale'!$B$5:$B$40))+SUMPRODUCT(SUMIF('Codice fiscale'!$A$5:$A$40,MID(C41,{2,4,6,8,10,12,14},1),'Codice fiscale'!$C$5:$C$40)),26))</f>
        <v/>
      </c>
      <c r="AK41" s="4">
        <f>IF(ABS(I41-X41)&gt;Parametri!$C$11,"ERRORE","OK")</f>
        <v/>
      </c>
      <c r="AL41" s="4">
        <f>IF(ABS(K41-AA41)&gt;Parametri!$C$11,"ERRORE","OK")</f>
        <v/>
      </c>
      <c r="AM41" s="4">
        <f>IF(ABS(O41-AB41)&gt;Parametri!$C$11,"ERRORE","OK")</f>
        <v/>
      </c>
      <c r="AN41" s="4">
        <f>IF(ABS(T41-AC41)&gt;Parametri!$C$11,"ERRORE","OK")</f>
        <v/>
      </c>
      <c r="AO41" s="4">
        <f>IF(ABS(W41-AE41)&gt;Parametri!$C$12,"ERRORE","OK")</f>
        <v/>
      </c>
      <c r="AP41" s="4">
        <f>IF(OR(ABS(N41-AF41)&gt;Parametri!$C$11,ABS(S41-AG41)&gt;Parametri!$C$11),"ERRORE","OK")</f>
        <v/>
      </c>
      <c r="AQ41" s="4">
        <f>IF(AI41="","OK",IF(AND(ABS(AI41)&gt;Parametri!$C$10,G41=""),"ERRORE","OK"))</f>
        <v/>
      </c>
      <c r="AR41" s="4">
        <f>IF(AND(LEN(C41)=16,RIGHT(C41,1)=AJ41),"OK","ERRORE")</f>
        <v/>
      </c>
      <c r="AS41" s="12">
        <f>COUNTIF(AK41:AR41,"ERRORE")</f>
        <v/>
      </c>
    </row>
    <row r="42">
      <c r="A42" s="15" t="inlineStr">
        <is>
          <t>B038</t>
        </is>
      </c>
      <c r="B42" s="15" t="inlineStr">
        <is>
          <t>B</t>
        </is>
      </c>
      <c r="C42" s="15" t="inlineStr">
        <is>
          <t>PFMLSL88H04Z130M</t>
        </is>
      </c>
      <c r="D42" s="15" t="inlineStr">
        <is>
          <t>4</t>
        </is>
      </c>
      <c r="E42" s="16" t="n">
        <v>44893</v>
      </c>
      <c r="F42" s="17" t="n">
        <v>0.75</v>
      </c>
      <c r="G42" s="15" t="inlineStr"/>
      <c r="H42" s="15" t="b">
        <v>0</v>
      </c>
      <c r="I42" s="17" t="n">
        <v>1336.26</v>
      </c>
      <c r="J42" s="15" t="n">
        <v>1</v>
      </c>
      <c r="K42" s="17" t="n">
        <v>15.5</v>
      </c>
      <c r="L42" s="17" t="n">
        <v>225</v>
      </c>
      <c r="M42" s="17" t="n">
        <v>0</v>
      </c>
      <c r="N42" s="17" t="n">
        <v>1576.76</v>
      </c>
      <c r="O42" s="17" t="n">
        <v>144.9</v>
      </c>
      <c r="P42" s="17" t="n">
        <v>1431.86</v>
      </c>
      <c r="Q42" s="17" t="n">
        <v>173.69</v>
      </c>
      <c r="R42" s="17" t="n">
        <v>21.48</v>
      </c>
      <c r="S42" s="17" t="n">
        <v>1236.69</v>
      </c>
      <c r="T42" s="17" t="n">
        <v>136.26</v>
      </c>
      <c r="U42" s="18" t="n">
        <v>2.1667</v>
      </c>
      <c r="V42" s="18" t="n">
        <v>1</v>
      </c>
      <c r="W42" s="18" t="n">
        <v>3.3338</v>
      </c>
      <c r="X42" s="19">
        <f>ROUND(INDEX(CCNL!$F$5:$F$12,MATCH(D42,CCNL!$A$5:$A$12,0))*F42,2)</f>
        <v/>
      </c>
      <c r="Y42" s="4">
        <f>(YEAR(Parametri!$C$5)*12+MONTH(Parametri!$C$5))-(YEAR(E42)*12+MONTH(E42))</f>
        <v/>
      </c>
      <c r="Z42" s="4">
        <f>MIN(Parametri!$C$13,MAX(0,INT((Y42-1)/36)))</f>
        <v/>
      </c>
      <c r="AA42" s="19">
        <f>ROUND(INDEX(CCNL!$I$5:$I$12,MATCH(D42,CCNL!$A$5:$A$12,0))*Z42*F42,2)</f>
        <v/>
      </c>
      <c r="AB42" s="19">
        <f>ROUND(N42*Parametri!$C$6,2)</f>
        <v/>
      </c>
      <c r="AC42" s="19">
        <f>ROUND((I42+K42+L42)*Parametri!$C$8/Parametri!$C$7/12,2)</f>
        <v/>
      </c>
      <c r="AD42" s="20">
        <f>IFERROR(INDEX(Agosto!$D$5:$D$173,MATCH(A42,Agosto!$A$5:$A$173,0)),0)</f>
        <v/>
      </c>
      <c r="AE42" s="21">
        <f>ROUND(AD42+ROUND(Parametri!$C$9/12,4)-V42,4)</f>
        <v/>
      </c>
      <c r="AF42" s="19">
        <f>ROUND(I42+K42+L42+M42,2)</f>
        <v/>
      </c>
      <c r="AG42" s="19">
        <f>ROUND(N42-O42-Q42-R42,2)</f>
        <v/>
      </c>
      <c r="AH42" s="22">
        <f>IFERROR(INDEX(Agosto!$C$5:$C$173,MATCH(A42,Agosto!$A$5:$A$173,0)),"")</f>
        <v/>
      </c>
      <c r="AI42" s="23">
        <f>IF(AH42="","",S42/AH42-1)</f>
        <v/>
      </c>
      <c r="AJ42" s="4">
        <f>CHAR(65+MOD(SUMPRODUCT(SUMIF('Codice fiscale'!$A$5:$A$40,MID(C42,{1,3,5,7,9,11,13,15},1),'Codice fiscale'!$B$5:$B$40))+SUMPRODUCT(SUMIF('Codice fiscale'!$A$5:$A$40,MID(C42,{2,4,6,8,10,12,14},1),'Codice fiscale'!$C$5:$C$40)),26))</f>
        <v/>
      </c>
      <c r="AK42" s="4">
        <f>IF(ABS(I42-X42)&gt;Parametri!$C$11,"ERRORE","OK")</f>
        <v/>
      </c>
      <c r="AL42" s="4">
        <f>IF(ABS(K42-AA42)&gt;Parametri!$C$11,"ERRORE","OK")</f>
        <v/>
      </c>
      <c r="AM42" s="4">
        <f>IF(ABS(O42-AB42)&gt;Parametri!$C$11,"ERRORE","OK")</f>
        <v/>
      </c>
      <c r="AN42" s="4">
        <f>IF(ABS(T42-AC42)&gt;Parametri!$C$11,"ERRORE","OK")</f>
        <v/>
      </c>
      <c r="AO42" s="4">
        <f>IF(ABS(W42-AE42)&gt;Parametri!$C$12,"ERRORE","OK")</f>
        <v/>
      </c>
      <c r="AP42" s="4">
        <f>IF(OR(ABS(N42-AF42)&gt;Parametri!$C$11,ABS(S42-AG42)&gt;Parametri!$C$11),"ERRORE","OK")</f>
        <v/>
      </c>
      <c r="AQ42" s="4">
        <f>IF(AI42="","OK",IF(AND(ABS(AI42)&gt;Parametri!$C$10,G42=""),"ERRORE","OK"))</f>
        <v/>
      </c>
      <c r="AR42" s="4">
        <f>IF(AND(LEN(C42)=16,RIGHT(C42,1)=AJ42),"OK","ERRORE")</f>
        <v/>
      </c>
      <c r="AS42" s="12">
        <f>COUNTIF(AK42:AR42,"ERRORE")</f>
        <v/>
      </c>
    </row>
    <row r="43">
      <c r="A43" s="15" t="inlineStr">
        <is>
          <t>B039</t>
        </is>
      </c>
      <c r="B43" s="15" t="inlineStr">
        <is>
          <t>B</t>
        </is>
      </c>
      <c r="C43" s="15" t="inlineStr">
        <is>
          <t>ZNLBBV62E18Z212O</t>
        </is>
      </c>
      <c r="D43" s="15" t="inlineStr">
        <is>
          <t>4</t>
        </is>
      </c>
      <c r="E43" s="16" t="n">
        <v>40613</v>
      </c>
      <c r="F43" s="17" t="n">
        <v>1</v>
      </c>
      <c r="G43" s="15" t="inlineStr"/>
      <c r="H43" s="15" t="b">
        <v>1</v>
      </c>
      <c r="I43" s="17" t="n">
        <v>1781.68</v>
      </c>
      <c r="J43" s="15" t="n">
        <v>5</v>
      </c>
      <c r="K43" s="17" t="n">
        <v>103.3</v>
      </c>
      <c r="L43" s="17" t="n">
        <v>200</v>
      </c>
      <c r="M43" s="17" t="n">
        <v>0</v>
      </c>
      <c r="N43" s="17" t="n">
        <v>2084.98</v>
      </c>
      <c r="O43" s="17" t="n">
        <v>191.61</v>
      </c>
      <c r="P43" s="17" t="n">
        <v>1893.37</v>
      </c>
      <c r="Q43" s="17" t="n">
        <v>298.29</v>
      </c>
      <c r="R43" s="17" t="n">
        <v>28.4</v>
      </c>
      <c r="S43" s="17" t="n">
        <v>1566.68</v>
      </c>
      <c r="T43" s="17" t="n">
        <v>180.18</v>
      </c>
      <c r="U43" s="18" t="n">
        <v>2.1667</v>
      </c>
      <c r="V43" s="18" t="n">
        <v>2</v>
      </c>
      <c r="W43" s="18" t="n">
        <v>22.6967</v>
      </c>
      <c r="X43" s="19">
        <f>ROUND(INDEX(CCNL!$F$5:$F$12,MATCH(D43,CCNL!$A$5:$A$12,0))*F43,2)</f>
        <v/>
      </c>
      <c r="Y43" s="4">
        <f>(YEAR(Parametri!$C$5)*12+MONTH(Parametri!$C$5))-(YEAR(E43)*12+MONTH(E43))</f>
        <v/>
      </c>
      <c r="Z43" s="4">
        <f>MIN(Parametri!$C$13,MAX(0,INT((Y43-1)/36)))</f>
        <v/>
      </c>
      <c r="AA43" s="19">
        <f>ROUND(INDEX(CCNL!$I$5:$I$12,MATCH(D43,CCNL!$A$5:$A$12,0))*Z43*F43,2)</f>
        <v/>
      </c>
      <c r="AB43" s="19">
        <f>ROUND(N43*Parametri!$C$6,2)</f>
        <v/>
      </c>
      <c r="AC43" s="19">
        <f>ROUND((I43+K43+L43)*Parametri!$C$8/Parametri!$C$7/12,2)</f>
        <v/>
      </c>
      <c r="AD43" s="20">
        <f>IFERROR(INDEX(Agosto!$D$5:$D$173,MATCH(A43,Agosto!$A$5:$A$173,0)),0)</f>
        <v/>
      </c>
      <c r="AE43" s="21">
        <f>ROUND(AD43+ROUND(Parametri!$C$9/12,4)-V43,4)</f>
        <v/>
      </c>
      <c r="AF43" s="19">
        <f>ROUND(I43+K43+L43+M43,2)</f>
        <v/>
      </c>
      <c r="AG43" s="19">
        <f>ROUND(N43-O43-Q43-R43,2)</f>
        <v/>
      </c>
      <c r="AH43" s="22">
        <f>IFERROR(INDEX(Agosto!$C$5:$C$173,MATCH(A43,Agosto!$A$5:$A$173,0)),"")</f>
        <v/>
      </c>
      <c r="AI43" s="23">
        <f>IF(AH43="","",S43/AH43-1)</f>
        <v/>
      </c>
      <c r="AJ43" s="4">
        <f>CHAR(65+MOD(SUMPRODUCT(SUMIF('Codice fiscale'!$A$5:$A$40,MID(C43,{1,3,5,7,9,11,13,15},1),'Codice fiscale'!$B$5:$B$40))+SUMPRODUCT(SUMIF('Codice fiscale'!$A$5:$A$40,MID(C43,{2,4,6,8,10,12,14},1),'Codice fiscale'!$C$5:$C$40)),26))</f>
        <v/>
      </c>
      <c r="AK43" s="4">
        <f>IF(ABS(I43-X43)&gt;Parametri!$C$11,"ERRORE","OK")</f>
        <v/>
      </c>
      <c r="AL43" s="4">
        <f>IF(ABS(K43-AA43)&gt;Parametri!$C$11,"ERRORE","OK")</f>
        <v/>
      </c>
      <c r="AM43" s="4">
        <f>IF(ABS(O43-AB43)&gt;Parametri!$C$11,"ERRORE","OK")</f>
        <v/>
      </c>
      <c r="AN43" s="4">
        <f>IF(ABS(T43-AC43)&gt;Parametri!$C$11,"ERRORE","OK")</f>
        <v/>
      </c>
      <c r="AO43" s="4">
        <f>IF(ABS(W43-AE43)&gt;Parametri!$C$12,"ERRORE","OK")</f>
        <v/>
      </c>
      <c r="AP43" s="4">
        <f>IF(OR(ABS(N43-AF43)&gt;Parametri!$C$11,ABS(S43-AG43)&gt;Parametri!$C$11),"ERRORE","OK")</f>
        <v/>
      </c>
      <c r="AQ43" s="4">
        <f>IF(AI43="","OK",IF(AND(ABS(AI43)&gt;Parametri!$C$10,G43=""),"ERRORE","OK"))</f>
        <v/>
      </c>
      <c r="AR43" s="4">
        <f>IF(AND(LEN(C43)=16,RIGHT(C43,1)=AJ43),"OK","ERRORE")</f>
        <v/>
      </c>
      <c r="AS43" s="12">
        <f>COUNTIF(AK43:AR43,"ERRORE")</f>
        <v/>
      </c>
    </row>
    <row r="44">
      <c r="A44" s="15" t="inlineStr">
        <is>
          <t>B040</t>
        </is>
      </c>
      <c r="B44" s="15" t="inlineStr">
        <is>
          <t>B</t>
        </is>
      </c>
      <c r="C44" s="15" t="inlineStr">
        <is>
          <t>CPTFPV79H01Z105O</t>
        </is>
      </c>
      <c r="D44" s="15" t="inlineStr">
        <is>
          <t>4</t>
        </is>
      </c>
      <c r="E44" s="16" t="n">
        <v>44677</v>
      </c>
      <c r="F44" s="17" t="n">
        <v>1</v>
      </c>
      <c r="G44" s="15" t="inlineStr"/>
      <c r="H44" s="15" t="b">
        <v>0</v>
      </c>
      <c r="I44" s="17" t="n">
        <v>1781.68</v>
      </c>
      <c r="J44" s="15" t="n">
        <v>1</v>
      </c>
      <c r="K44" s="17" t="n">
        <v>20.66</v>
      </c>
      <c r="L44" s="17" t="n">
        <v>120</v>
      </c>
      <c r="M44" s="17" t="n">
        <v>0</v>
      </c>
      <c r="N44" s="17" t="n">
        <v>1922.34</v>
      </c>
      <c r="O44" s="17" t="n">
        <v>176.66</v>
      </c>
      <c r="P44" s="17" t="n">
        <v>1745.68</v>
      </c>
      <c r="Q44" s="17" t="n">
        <v>258.42</v>
      </c>
      <c r="R44" s="17" t="n">
        <v>26.19</v>
      </c>
      <c r="S44" s="17" t="n">
        <v>1461.07</v>
      </c>
      <c r="T44" s="17" t="n">
        <v>166.13</v>
      </c>
      <c r="U44" s="18" t="n">
        <v>2.1667</v>
      </c>
      <c r="V44" s="18" t="n">
        <v>1</v>
      </c>
      <c r="W44" s="18" t="n">
        <v>13.9552</v>
      </c>
      <c r="X44" s="19">
        <f>ROUND(INDEX(CCNL!$F$5:$F$12,MATCH(D44,CCNL!$A$5:$A$12,0))*F44,2)</f>
        <v/>
      </c>
      <c r="Y44" s="4">
        <f>(YEAR(Parametri!$C$5)*12+MONTH(Parametri!$C$5))-(YEAR(E44)*12+MONTH(E44))</f>
        <v/>
      </c>
      <c r="Z44" s="4">
        <f>MIN(Parametri!$C$13,MAX(0,INT((Y44-1)/36)))</f>
        <v/>
      </c>
      <c r="AA44" s="19">
        <f>ROUND(INDEX(CCNL!$I$5:$I$12,MATCH(D44,CCNL!$A$5:$A$12,0))*Z44*F44,2)</f>
        <v/>
      </c>
      <c r="AB44" s="19">
        <f>ROUND(N44*Parametri!$C$6,2)</f>
        <v/>
      </c>
      <c r="AC44" s="19">
        <f>ROUND((I44+K44+L44)*Parametri!$C$8/Parametri!$C$7/12,2)</f>
        <v/>
      </c>
      <c r="AD44" s="20">
        <f>IFERROR(INDEX(Agosto!$D$5:$D$173,MATCH(A44,Agosto!$A$5:$A$173,0)),0)</f>
        <v/>
      </c>
      <c r="AE44" s="21">
        <f>ROUND(AD44+ROUND(Parametri!$C$9/12,4)-V44,4)</f>
        <v/>
      </c>
      <c r="AF44" s="19">
        <f>ROUND(I44+K44+L44+M44,2)</f>
        <v/>
      </c>
      <c r="AG44" s="19">
        <f>ROUND(N44-O44-Q44-R44,2)</f>
        <v/>
      </c>
      <c r="AH44" s="22">
        <f>IFERROR(INDEX(Agosto!$C$5:$C$173,MATCH(A44,Agosto!$A$5:$A$173,0)),"")</f>
        <v/>
      </c>
      <c r="AI44" s="23">
        <f>IF(AH44="","",S44/AH44-1)</f>
        <v/>
      </c>
      <c r="AJ44" s="4">
        <f>CHAR(65+MOD(SUMPRODUCT(SUMIF('Codice fiscale'!$A$5:$A$40,MID(C44,{1,3,5,7,9,11,13,15},1),'Codice fiscale'!$B$5:$B$40))+SUMPRODUCT(SUMIF('Codice fiscale'!$A$5:$A$40,MID(C44,{2,4,6,8,10,12,14},1),'Codice fiscale'!$C$5:$C$40)),26))</f>
        <v/>
      </c>
      <c r="AK44" s="4">
        <f>IF(ABS(I44-X44)&gt;Parametri!$C$11,"ERRORE","OK")</f>
        <v/>
      </c>
      <c r="AL44" s="4">
        <f>IF(ABS(K44-AA44)&gt;Parametri!$C$11,"ERRORE","OK")</f>
        <v/>
      </c>
      <c r="AM44" s="4">
        <f>IF(ABS(O44-AB44)&gt;Parametri!$C$11,"ERRORE","OK")</f>
        <v/>
      </c>
      <c r="AN44" s="4">
        <f>IF(ABS(T44-AC44)&gt;Parametri!$C$11,"ERRORE","OK")</f>
        <v/>
      </c>
      <c r="AO44" s="4">
        <f>IF(ABS(W44-AE44)&gt;Parametri!$C$12,"ERRORE","OK")</f>
        <v/>
      </c>
      <c r="AP44" s="4">
        <f>IF(OR(ABS(N44-AF44)&gt;Parametri!$C$11,ABS(S44-AG44)&gt;Parametri!$C$11),"ERRORE","OK")</f>
        <v/>
      </c>
      <c r="AQ44" s="4">
        <f>IF(AI44="","OK",IF(AND(ABS(AI44)&gt;Parametri!$C$10,G44=""),"ERRORE","OK"))</f>
        <v/>
      </c>
      <c r="AR44" s="4">
        <f>IF(AND(LEN(C44)=16,RIGHT(C44,1)=AJ44),"OK","ERRORE")</f>
        <v/>
      </c>
      <c r="AS44" s="12">
        <f>COUNTIF(AK44:AR44,"ERRORE")</f>
        <v/>
      </c>
    </row>
    <row r="45">
      <c r="A45" s="15" t="inlineStr">
        <is>
          <t>B041</t>
        </is>
      </c>
      <c r="B45" s="15" t="inlineStr">
        <is>
          <t>B</t>
        </is>
      </c>
      <c r="C45" s="15" t="inlineStr">
        <is>
          <t>SRPDCB76M47Z238Z</t>
        </is>
      </c>
      <c r="D45" s="15" t="inlineStr">
        <is>
          <t>2</t>
        </is>
      </c>
      <c r="E45" s="16" t="n">
        <v>38696</v>
      </c>
      <c r="F45" s="17" t="n">
        <v>1</v>
      </c>
      <c r="G45" s="15" t="inlineStr"/>
      <c r="H45" s="15" t="b">
        <v>0</v>
      </c>
      <c r="I45" s="17" t="n">
        <v>2233.6</v>
      </c>
      <c r="J45" s="15" t="n">
        <v>6</v>
      </c>
      <c r="K45" s="17" t="n">
        <v>136.98</v>
      </c>
      <c r="L45" s="17" t="n">
        <v>300</v>
      </c>
      <c r="M45" s="17" t="n">
        <v>0</v>
      </c>
      <c r="N45" s="17" t="n">
        <v>2670.58</v>
      </c>
      <c r="O45" s="17" t="n">
        <v>245.43</v>
      </c>
      <c r="P45" s="17" t="n">
        <v>2425.15</v>
      </c>
      <c r="Q45" s="17" t="n">
        <v>451.06</v>
      </c>
      <c r="R45" s="17" t="n">
        <v>36.38</v>
      </c>
      <c r="S45" s="17" t="n">
        <v>1937.71</v>
      </c>
      <c r="T45" s="17" t="n">
        <v>230.79</v>
      </c>
      <c r="U45" s="18" t="n">
        <v>2.1667</v>
      </c>
      <c r="V45" s="18" t="n">
        <v>1</v>
      </c>
      <c r="W45" s="18" t="n">
        <v>10.3973</v>
      </c>
      <c r="X45" s="19">
        <f>ROUND(INDEX(CCNL!$F$5:$F$12,MATCH(D45,CCNL!$A$5:$A$12,0))*F45,2)</f>
        <v/>
      </c>
      <c r="Y45" s="4">
        <f>(YEAR(Parametri!$C$5)*12+MONTH(Parametri!$C$5))-(YEAR(E45)*12+MONTH(E45))</f>
        <v/>
      </c>
      <c r="Z45" s="4">
        <f>MIN(Parametri!$C$13,MAX(0,INT((Y45-1)/36)))</f>
        <v/>
      </c>
      <c r="AA45" s="19">
        <f>ROUND(INDEX(CCNL!$I$5:$I$12,MATCH(D45,CCNL!$A$5:$A$12,0))*Z45*F45,2)</f>
        <v/>
      </c>
      <c r="AB45" s="19">
        <f>ROUND(N45*Parametri!$C$6,2)</f>
        <v/>
      </c>
      <c r="AC45" s="19">
        <f>ROUND((I45+K45+L45)*Parametri!$C$8/Parametri!$C$7/12,2)</f>
        <v/>
      </c>
      <c r="AD45" s="20">
        <f>IFERROR(INDEX(Agosto!$D$5:$D$173,MATCH(A45,Agosto!$A$5:$A$173,0)),0)</f>
        <v/>
      </c>
      <c r="AE45" s="21">
        <f>ROUND(AD45+ROUND(Parametri!$C$9/12,4)-V45,4)</f>
        <v/>
      </c>
      <c r="AF45" s="19">
        <f>ROUND(I45+K45+L45+M45,2)</f>
        <v/>
      </c>
      <c r="AG45" s="19">
        <f>ROUND(N45-O45-Q45-R45,2)</f>
        <v/>
      </c>
      <c r="AH45" s="22">
        <f>IFERROR(INDEX(Agosto!$C$5:$C$173,MATCH(A45,Agosto!$A$5:$A$173,0)),"")</f>
        <v/>
      </c>
      <c r="AI45" s="23">
        <f>IF(AH45="","",S45/AH45-1)</f>
        <v/>
      </c>
      <c r="AJ45" s="4">
        <f>CHAR(65+MOD(SUMPRODUCT(SUMIF('Codice fiscale'!$A$5:$A$40,MID(C45,{1,3,5,7,9,11,13,15},1),'Codice fiscale'!$B$5:$B$40))+SUMPRODUCT(SUMIF('Codice fiscale'!$A$5:$A$40,MID(C45,{2,4,6,8,10,12,14},1),'Codice fiscale'!$C$5:$C$40)),26))</f>
        <v/>
      </c>
      <c r="AK45" s="4">
        <f>IF(ABS(I45-X45)&gt;Parametri!$C$11,"ERRORE","OK")</f>
        <v/>
      </c>
      <c r="AL45" s="4">
        <f>IF(ABS(K45-AA45)&gt;Parametri!$C$11,"ERRORE","OK")</f>
        <v/>
      </c>
      <c r="AM45" s="4">
        <f>IF(ABS(O45-AB45)&gt;Parametri!$C$11,"ERRORE","OK")</f>
        <v/>
      </c>
      <c r="AN45" s="4">
        <f>IF(ABS(T45-AC45)&gt;Parametri!$C$11,"ERRORE","OK")</f>
        <v/>
      </c>
      <c r="AO45" s="4">
        <f>IF(ABS(W45-AE45)&gt;Parametri!$C$12,"ERRORE","OK")</f>
        <v/>
      </c>
      <c r="AP45" s="4">
        <f>IF(OR(ABS(N45-AF45)&gt;Parametri!$C$11,ABS(S45-AG45)&gt;Parametri!$C$11),"ERRORE","OK")</f>
        <v/>
      </c>
      <c r="AQ45" s="4">
        <f>IF(AI45="","OK",IF(AND(ABS(AI45)&gt;Parametri!$C$10,G45=""),"ERRORE","OK"))</f>
        <v/>
      </c>
      <c r="AR45" s="4">
        <f>IF(AND(LEN(C45)=16,RIGHT(C45,1)=AJ45),"OK","ERRORE")</f>
        <v/>
      </c>
      <c r="AS45" s="12">
        <f>COUNTIF(AK45:AR45,"ERRORE")</f>
        <v/>
      </c>
    </row>
    <row r="46">
      <c r="A46" s="15" t="inlineStr">
        <is>
          <t>B042</t>
        </is>
      </c>
      <c r="B46" s="15" t="inlineStr">
        <is>
          <t>B</t>
        </is>
      </c>
      <c r="C46" s="15" t="inlineStr">
        <is>
          <t>RNGNLZ97T57Z228L</t>
        </is>
      </c>
      <c r="D46" s="15" t="inlineStr">
        <is>
          <t>5</t>
        </is>
      </c>
      <c r="E46" s="16" t="n">
        <v>43699</v>
      </c>
      <c r="F46" s="17" t="n">
        <v>1</v>
      </c>
      <c r="G46" s="15" t="inlineStr"/>
      <c r="H46" s="15" t="b">
        <v>1</v>
      </c>
      <c r="I46" s="17" t="n">
        <v>1658.01</v>
      </c>
      <c r="J46" s="15" t="n">
        <v>2</v>
      </c>
      <c r="K46" s="17" t="n">
        <v>40.6</v>
      </c>
      <c r="L46" s="17" t="n">
        <v>120</v>
      </c>
      <c r="M46" s="17" t="n">
        <v>0</v>
      </c>
      <c r="N46" s="17" t="n">
        <v>1818.61</v>
      </c>
      <c r="O46" s="17" t="n">
        <v>167.13</v>
      </c>
      <c r="P46" s="17" t="n">
        <v>1651.48</v>
      </c>
      <c r="Q46" s="17" t="n">
        <v>232.98</v>
      </c>
      <c r="R46" s="17" t="n">
        <v>24.77</v>
      </c>
      <c r="S46" s="17" t="n">
        <v>1393.73</v>
      </c>
      <c r="T46" s="17" t="n">
        <v>157.16</v>
      </c>
      <c r="U46" s="18" t="n">
        <v>2.1667</v>
      </c>
      <c r="V46" s="18" t="n">
        <v>0</v>
      </c>
      <c r="W46" s="18" t="n">
        <v>21.2509</v>
      </c>
      <c r="X46" s="19">
        <f>ROUND(INDEX(CCNL!$F$5:$F$12,MATCH(D46,CCNL!$A$5:$A$12,0))*F46,2)</f>
        <v/>
      </c>
      <c r="Y46" s="4">
        <f>(YEAR(Parametri!$C$5)*12+MONTH(Parametri!$C$5))-(YEAR(E46)*12+MONTH(E46))</f>
        <v/>
      </c>
      <c r="Z46" s="4">
        <f>MIN(Parametri!$C$13,MAX(0,INT((Y46-1)/36)))</f>
        <v/>
      </c>
      <c r="AA46" s="19">
        <f>ROUND(INDEX(CCNL!$I$5:$I$12,MATCH(D46,CCNL!$A$5:$A$12,0))*Z46*F46,2)</f>
        <v/>
      </c>
      <c r="AB46" s="19">
        <f>ROUND(N46*Parametri!$C$6,2)</f>
        <v/>
      </c>
      <c r="AC46" s="19">
        <f>ROUND((I46+K46+L46)*Parametri!$C$8/Parametri!$C$7/12,2)</f>
        <v/>
      </c>
      <c r="AD46" s="20">
        <f>IFERROR(INDEX(Agosto!$D$5:$D$173,MATCH(A46,Agosto!$A$5:$A$173,0)),0)</f>
        <v/>
      </c>
      <c r="AE46" s="21">
        <f>ROUND(AD46+ROUND(Parametri!$C$9/12,4)-V46,4)</f>
        <v/>
      </c>
      <c r="AF46" s="19">
        <f>ROUND(I46+K46+L46+M46,2)</f>
        <v/>
      </c>
      <c r="AG46" s="19">
        <f>ROUND(N46-O46-Q46-R46,2)</f>
        <v/>
      </c>
      <c r="AH46" s="22">
        <f>IFERROR(INDEX(Agosto!$C$5:$C$173,MATCH(A46,Agosto!$A$5:$A$173,0)),"")</f>
        <v/>
      </c>
      <c r="AI46" s="23">
        <f>IF(AH46="","",S46/AH46-1)</f>
        <v/>
      </c>
      <c r="AJ46" s="4">
        <f>CHAR(65+MOD(SUMPRODUCT(SUMIF('Codice fiscale'!$A$5:$A$40,MID(C46,{1,3,5,7,9,11,13,15},1),'Codice fiscale'!$B$5:$B$40))+SUMPRODUCT(SUMIF('Codice fiscale'!$A$5:$A$40,MID(C46,{2,4,6,8,10,12,14},1),'Codice fiscale'!$C$5:$C$40)),26))</f>
        <v/>
      </c>
      <c r="AK46" s="4">
        <f>IF(ABS(I46-X46)&gt;Parametri!$C$11,"ERRORE","OK")</f>
        <v/>
      </c>
      <c r="AL46" s="4">
        <f>IF(ABS(K46-AA46)&gt;Parametri!$C$11,"ERRORE","OK")</f>
        <v/>
      </c>
      <c r="AM46" s="4">
        <f>IF(ABS(O46-AB46)&gt;Parametri!$C$11,"ERRORE","OK")</f>
        <v/>
      </c>
      <c r="AN46" s="4">
        <f>IF(ABS(T46-AC46)&gt;Parametri!$C$11,"ERRORE","OK")</f>
        <v/>
      </c>
      <c r="AO46" s="4">
        <f>IF(ABS(W46-AE46)&gt;Parametri!$C$12,"ERRORE","OK")</f>
        <v/>
      </c>
      <c r="AP46" s="4">
        <f>IF(OR(ABS(N46-AF46)&gt;Parametri!$C$11,ABS(S46-AG46)&gt;Parametri!$C$11),"ERRORE","OK")</f>
        <v/>
      </c>
      <c r="AQ46" s="4">
        <f>IF(AI46="","OK",IF(AND(ABS(AI46)&gt;Parametri!$C$10,G46=""),"ERRORE","OK"))</f>
        <v/>
      </c>
      <c r="AR46" s="4">
        <f>IF(AND(LEN(C46)=16,RIGHT(C46,1)=AJ46),"OK","ERRORE")</f>
        <v/>
      </c>
      <c r="AS46" s="12">
        <f>COUNTIF(AK46:AR46,"ERRORE")</f>
        <v/>
      </c>
    </row>
    <row r="47">
      <c r="A47" s="15" t="inlineStr">
        <is>
          <t>B043</t>
        </is>
      </c>
      <c r="B47" s="15" t="inlineStr">
        <is>
          <t>B</t>
        </is>
      </c>
      <c r="C47" s="15" t="inlineStr">
        <is>
          <t>PZTMGF63M66Z397H</t>
        </is>
      </c>
      <c r="D47" s="15" t="inlineStr">
        <is>
          <t>5</t>
        </is>
      </c>
      <c r="E47" s="16" t="n">
        <v>43247</v>
      </c>
      <c r="F47" s="17" t="n">
        <v>1</v>
      </c>
      <c r="G47" s="15" t="inlineStr"/>
      <c r="H47" s="15" t="b">
        <v>1</v>
      </c>
      <c r="I47" s="17" t="n">
        <v>1658.01</v>
      </c>
      <c r="J47" s="15" t="n">
        <v>2</v>
      </c>
      <c r="K47" s="17" t="n">
        <v>40.6</v>
      </c>
      <c r="L47" s="17" t="n">
        <v>80</v>
      </c>
      <c r="M47" s="17" t="n">
        <v>0</v>
      </c>
      <c r="N47" s="17" t="n">
        <v>1778.61</v>
      </c>
      <c r="O47" s="17" t="n">
        <v>163.45</v>
      </c>
      <c r="P47" s="17" t="n">
        <v>1615.16</v>
      </c>
      <c r="Q47" s="17" t="n">
        <v>223.18</v>
      </c>
      <c r="R47" s="17" t="n">
        <v>24.23</v>
      </c>
      <c r="S47" s="17" t="n">
        <v>1367.75</v>
      </c>
      <c r="T47" s="17" t="n">
        <v>153.71</v>
      </c>
      <c r="U47" s="18" t="n">
        <v>2.1667</v>
      </c>
      <c r="V47" s="18" t="n">
        <v>0</v>
      </c>
      <c r="W47" s="18" t="n">
        <v>22.1302</v>
      </c>
      <c r="X47" s="19">
        <f>ROUND(INDEX(CCNL!$F$5:$F$12,MATCH(D47,CCNL!$A$5:$A$12,0))*F47,2)</f>
        <v/>
      </c>
      <c r="Y47" s="4">
        <f>(YEAR(Parametri!$C$5)*12+MONTH(Parametri!$C$5))-(YEAR(E47)*12+MONTH(E47))</f>
        <v/>
      </c>
      <c r="Z47" s="4">
        <f>MIN(Parametri!$C$13,MAX(0,INT((Y47-1)/36)))</f>
        <v/>
      </c>
      <c r="AA47" s="19">
        <f>ROUND(INDEX(CCNL!$I$5:$I$12,MATCH(D47,CCNL!$A$5:$A$12,0))*Z47*F47,2)</f>
        <v/>
      </c>
      <c r="AB47" s="19">
        <f>ROUND(N47*Parametri!$C$6,2)</f>
        <v/>
      </c>
      <c r="AC47" s="19">
        <f>ROUND((I47+K47+L47)*Parametri!$C$8/Parametri!$C$7/12,2)</f>
        <v/>
      </c>
      <c r="AD47" s="20">
        <f>IFERROR(INDEX(Agosto!$D$5:$D$173,MATCH(A47,Agosto!$A$5:$A$173,0)),0)</f>
        <v/>
      </c>
      <c r="AE47" s="21">
        <f>ROUND(AD47+ROUND(Parametri!$C$9/12,4)-V47,4)</f>
        <v/>
      </c>
      <c r="AF47" s="19">
        <f>ROUND(I47+K47+L47+M47,2)</f>
        <v/>
      </c>
      <c r="AG47" s="19">
        <f>ROUND(N47-O47-Q47-R47,2)</f>
        <v/>
      </c>
      <c r="AH47" s="22">
        <f>IFERROR(INDEX(Agosto!$C$5:$C$173,MATCH(A47,Agosto!$A$5:$A$173,0)),"")</f>
        <v/>
      </c>
      <c r="AI47" s="23">
        <f>IF(AH47="","",S47/AH47-1)</f>
        <v/>
      </c>
      <c r="AJ47" s="4">
        <f>CHAR(65+MOD(SUMPRODUCT(SUMIF('Codice fiscale'!$A$5:$A$40,MID(C47,{1,3,5,7,9,11,13,15},1),'Codice fiscale'!$B$5:$B$40))+SUMPRODUCT(SUMIF('Codice fiscale'!$A$5:$A$40,MID(C47,{2,4,6,8,10,12,14},1),'Codice fiscale'!$C$5:$C$40)),26))</f>
        <v/>
      </c>
      <c r="AK47" s="4">
        <f>IF(ABS(I47-X47)&gt;Parametri!$C$11,"ERRORE","OK")</f>
        <v/>
      </c>
      <c r="AL47" s="4">
        <f>IF(ABS(K47-AA47)&gt;Parametri!$C$11,"ERRORE","OK")</f>
        <v/>
      </c>
      <c r="AM47" s="4">
        <f>IF(ABS(O47-AB47)&gt;Parametri!$C$11,"ERRORE","OK")</f>
        <v/>
      </c>
      <c r="AN47" s="4">
        <f>IF(ABS(T47-AC47)&gt;Parametri!$C$11,"ERRORE","OK")</f>
        <v/>
      </c>
      <c r="AO47" s="4">
        <f>IF(ABS(W47-AE47)&gt;Parametri!$C$12,"ERRORE","OK")</f>
        <v/>
      </c>
      <c r="AP47" s="4">
        <f>IF(OR(ABS(N47-AF47)&gt;Parametri!$C$11,ABS(S47-AG47)&gt;Parametri!$C$11),"ERRORE","OK")</f>
        <v/>
      </c>
      <c r="AQ47" s="4">
        <f>IF(AI47="","OK",IF(AND(ABS(AI47)&gt;Parametri!$C$10,G47=""),"ERRORE","OK"))</f>
        <v/>
      </c>
      <c r="AR47" s="4">
        <f>IF(AND(LEN(C47)=16,RIGHT(C47,1)=AJ47),"OK","ERRORE")</f>
        <v/>
      </c>
      <c r="AS47" s="12">
        <f>COUNTIF(AK47:AR47,"ERRORE")</f>
        <v/>
      </c>
    </row>
    <row r="48">
      <c r="A48" s="15" t="inlineStr">
        <is>
          <t>B044</t>
        </is>
      </c>
      <c r="B48" s="15" t="inlineStr">
        <is>
          <t>B</t>
        </is>
      </c>
      <c r="C48" s="15" t="inlineStr">
        <is>
          <t>RLNLSL66T64Z284O</t>
        </is>
      </c>
      <c r="D48" s="15" t="inlineStr">
        <is>
          <t>2</t>
        </is>
      </c>
      <c r="E48" s="16" t="n">
        <v>41871</v>
      </c>
      <c r="F48" s="17" t="n">
        <v>1</v>
      </c>
      <c r="G48" s="15" t="inlineStr"/>
      <c r="H48" s="15" t="b">
        <v>1</v>
      </c>
      <c r="I48" s="17" t="n">
        <v>2186.25</v>
      </c>
      <c r="J48" s="15" t="n">
        <v>4</v>
      </c>
      <c r="K48" s="17" t="n">
        <v>91.31999999999999</v>
      </c>
      <c r="L48" s="17" t="n">
        <v>300</v>
      </c>
      <c r="M48" s="17" t="n">
        <v>0</v>
      </c>
      <c r="N48" s="17" t="n">
        <v>2577.57</v>
      </c>
      <c r="O48" s="17" t="n">
        <v>236.88</v>
      </c>
      <c r="P48" s="17" t="n">
        <v>2340.69</v>
      </c>
      <c r="Q48" s="17" t="n">
        <v>419.81</v>
      </c>
      <c r="R48" s="17" t="n">
        <v>35.11</v>
      </c>
      <c r="S48" s="17" t="n">
        <v>1885.77</v>
      </c>
      <c r="T48" s="17" t="n">
        <v>222.75</v>
      </c>
      <c r="U48" s="18" t="n">
        <v>2.1667</v>
      </c>
      <c r="V48" s="18" t="n">
        <v>2</v>
      </c>
      <c r="W48" s="18" t="n">
        <v>4.8125</v>
      </c>
      <c r="X48" s="19">
        <f>ROUND(INDEX(CCNL!$F$5:$F$12,MATCH(D48,CCNL!$A$5:$A$12,0))*F48,2)</f>
        <v/>
      </c>
      <c r="Y48" s="4">
        <f>(YEAR(Parametri!$C$5)*12+MONTH(Parametri!$C$5))-(YEAR(E48)*12+MONTH(E48))</f>
        <v/>
      </c>
      <c r="Z48" s="4">
        <f>MIN(Parametri!$C$13,MAX(0,INT((Y48-1)/36)))</f>
        <v/>
      </c>
      <c r="AA48" s="19">
        <f>ROUND(INDEX(CCNL!$I$5:$I$12,MATCH(D48,CCNL!$A$5:$A$12,0))*Z48*F48,2)</f>
        <v/>
      </c>
      <c r="AB48" s="19">
        <f>ROUND(N48*Parametri!$C$6,2)</f>
        <v/>
      </c>
      <c r="AC48" s="19">
        <f>ROUND((I48+K48+L48)*Parametri!$C$8/Parametri!$C$7/12,2)</f>
        <v/>
      </c>
      <c r="AD48" s="20">
        <f>IFERROR(INDEX(Agosto!$D$5:$D$173,MATCH(A48,Agosto!$A$5:$A$173,0)),0)</f>
        <v/>
      </c>
      <c r="AE48" s="21">
        <f>ROUND(AD48+ROUND(Parametri!$C$9/12,4)-V48,4)</f>
        <v/>
      </c>
      <c r="AF48" s="19">
        <f>ROUND(I48+K48+L48+M48,2)</f>
        <v/>
      </c>
      <c r="AG48" s="19">
        <f>ROUND(N48-O48-Q48-R48,2)</f>
        <v/>
      </c>
      <c r="AH48" s="22">
        <f>IFERROR(INDEX(Agosto!$C$5:$C$173,MATCH(A48,Agosto!$A$5:$A$173,0)),"")</f>
        <v/>
      </c>
      <c r="AI48" s="23">
        <f>IF(AH48="","",S48/AH48-1)</f>
        <v/>
      </c>
      <c r="AJ48" s="4">
        <f>CHAR(65+MOD(SUMPRODUCT(SUMIF('Codice fiscale'!$A$5:$A$40,MID(C48,{1,3,5,7,9,11,13,15},1),'Codice fiscale'!$B$5:$B$40))+SUMPRODUCT(SUMIF('Codice fiscale'!$A$5:$A$40,MID(C48,{2,4,6,8,10,12,14},1),'Codice fiscale'!$C$5:$C$40)),26))</f>
        <v/>
      </c>
      <c r="AK48" s="4">
        <f>IF(ABS(I48-X48)&gt;Parametri!$C$11,"ERRORE","OK")</f>
        <v/>
      </c>
      <c r="AL48" s="4">
        <f>IF(ABS(K48-AA48)&gt;Parametri!$C$11,"ERRORE","OK")</f>
        <v/>
      </c>
      <c r="AM48" s="4">
        <f>IF(ABS(O48-AB48)&gt;Parametri!$C$11,"ERRORE","OK")</f>
        <v/>
      </c>
      <c r="AN48" s="4">
        <f>IF(ABS(T48-AC48)&gt;Parametri!$C$11,"ERRORE","OK")</f>
        <v/>
      </c>
      <c r="AO48" s="4">
        <f>IF(ABS(W48-AE48)&gt;Parametri!$C$12,"ERRORE","OK")</f>
        <v/>
      </c>
      <c r="AP48" s="4">
        <f>IF(OR(ABS(N48-AF48)&gt;Parametri!$C$11,ABS(S48-AG48)&gt;Parametri!$C$11),"ERRORE","OK")</f>
        <v/>
      </c>
      <c r="AQ48" s="4">
        <f>IF(AI48="","OK",IF(AND(ABS(AI48)&gt;Parametri!$C$10,G48=""),"ERRORE","OK"))</f>
        <v/>
      </c>
      <c r="AR48" s="4">
        <f>IF(AND(LEN(C48)=16,RIGHT(C48,1)=AJ48),"OK","ERRORE")</f>
        <v/>
      </c>
      <c r="AS48" s="12">
        <f>COUNTIF(AK48:AR48,"ERRORE")</f>
        <v/>
      </c>
    </row>
    <row r="49">
      <c r="A49" s="15" t="inlineStr">
        <is>
          <t>B045</t>
        </is>
      </c>
      <c r="B49" s="15" t="inlineStr">
        <is>
          <t>B</t>
        </is>
      </c>
      <c r="C49" s="15" t="inlineStr">
        <is>
          <t>NFFMPZ73E28Z369F</t>
        </is>
      </c>
      <c r="D49" s="15" t="inlineStr">
        <is>
          <t>6</t>
        </is>
      </c>
      <c r="E49" s="16" t="n">
        <v>43773</v>
      </c>
      <c r="F49" s="17" t="n">
        <v>0.5</v>
      </c>
      <c r="G49" s="15" t="inlineStr"/>
      <c r="H49" s="15" t="b">
        <v>1</v>
      </c>
      <c r="I49" s="17" t="n">
        <v>769.85</v>
      </c>
      <c r="J49" s="15" t="n">
        <v>2</v>
      </c>
      <c r="K49" s="17" t="n">
        <v>19.73</v>
      </c>
      <c r="L49" s="17" t="n">
        <v>0</v>
      </c>
      <c r="M49" s="17" t="n">
        <v>0</v>
      </c>
      <c r="N49" s="17" t="n">
        <v>789.58</v>
      </c>
      <c r="O49" s="17" t="n">
        <v>72.56</v>
      </c>
      <c r="P49" s="17" t="n">
        <v>717.02</v>
      </c>
      <c r="Q49" s="17" t="n">
        <v>2</v>
      </c>
      <c r="R49" s="17" t="n">
        <v>10.76</v>
      </c>
      <c r="S49" s="17" t="n">
        <v>704.26</v>
      </c>
      <c r="T49" s="17" t="n">
        <v>68.23999999999999</v>
      </c>
      <c r="U49" s="18" t="n">
        <v>2.1667</v>
      </c>
      <c r="V49" s="18" t="n">
        <v>1</v>
      </c>
      <c r="W49" s="18" t="n">
        <v>14.7283</v>
      </c>
      <c r="X49" s="19">
        <f>ROUND(INDEX(CCNL!$F$5:$F$12,MATCH(D49,CCNL!$A$5:$A$12,0))*F49,2)</f>
        <v/>
      </c>
      <c r="Y49" s="4">
        <f>(YEAR(Parametri!$C$5)*12+MONTH(Parametri!$C$5))-(YEAR(E49)*12+MONTH(E49))</f>
        <v/>
      </c>
      <c r="Z49" s="4">
        <f>MIN(Parametri!$C$13,MAX(0,INT((Y49-1)/36)))</f>
        <v/>
      </c>
      <c r="AA49" s="19">
        <f>ROUND(INDEX(CCNL!$I$5:$I$12,MATCH(D49,CCNL!$A$5:$A$12,0))*Z49*F49,2)</f>
        <v/>
      </c>
      <c r="AB49" s="19">
        <f>ROUND(N49*Parametri!$C$6,2)</f>
        <v/>
      </c>
      <c r="AC49" s="19">
        <f>ROUND((I49+K49+L49)*Parametri!$C$8/Parametri!$C$7/12,2)</f>
        <v/>
      </c>
      <c r="AD49" s="20">
        <f>IFERROR(INDEX(Agosto!$D$5:$D$173,MATCH(A49,Agosto!$A$5:$A$173,0)),0)</f>
        <v/>
      </c>
      <c r="AE49" s="21">
        <f>ROUND(AD49+ROUND(Parametri!$C$9/12,4)-V49,4)</f>
        <v/>
      </c>
      <c r="AF49" s="19">
        <f>ROUND(I49+K49+L49+M49,2)</f>
        <v/>
      </c>
      <c r="AG49" s="19">
        <f>ROUND(N49-O49-Q49-R49,2)</f>
        <v/>
      </c>
      <c r="AH49" s="22">
        <f>IFERROR(INDEX(Agosto!$C$5:$C$173,MATCH(A49,Agosto!$A$5:$A$173,0)),"")</f>
        <v/>
      </c>
      <c r="AI49" s="23">
        <f>IF(AH49="","",S49/AH49-1)</f>
        <v/>
      </c>
      <c r="AJ49" s="4">
        <f>CHAR(65+MOD(SUMPRODUCT(SUMIF('Codice fiscale'!$A$5:$A$40,MID(C49,{1,3,5,7,9,11,13,15},1),'Codice fiscale'!$B$5:$B$40))+SUMPRODUCT(SUMIF('Codice fiscale'!$A$5:$A$40,MID(C49,{2,4,6,8,10,12,14},1),'Codice fiscale'!$C$5:$C$40)),26))</f>
        <v/>
      </c>
      <c r="AK49" s="4">
        <f>IF(ABS(I49-X49)&gt;Parametri!$C$11,"ERRORE","OK")</f>
        <v/>
      </c>
      <c r="AL49" s="4">
        <f>IF(ABS(K49-AA49)&gt;Parametri!$C$11,"ERRORE","OK")</f>
        <v/>
      </c>
      <c r="AM49" s="4">
        <f>IF(ABS(O49-AB49)&gt;Parametri!$C$11,"ERRORE","OK")</f>
        <v/>
      </c>
      <c r="AN49" s="4">
        <f>IF(ABS(T49-AC49)&gt;Parametri!$C$11,"ERRORE","OK")</f>
        <v/>
      </c>
      <c r="AO49" s="4">
        <f>IF(ABS(W49-AE49)&gt;Parametri!$C$12,"ERRORE","OK")</f>
        <v/>
      </c>
      <c r="AP49" s="4">
        <f>IF(OR(ABS(N49-AF49)&gt;Parametri!$C$11,ABS(S49-AG49)&gt;Parametri!$C$11),"ERRORE","OK")</f>
        <v/>
      </c>
      <c r="AQ49" s="4">
        <f>IF(AI49="","OK",IF(AND(ABS(AI49)&gt;Parametri!$C$10,G49=""),"ERRORE","OK"))</f>
        <v/>
      </c>
      <c r="AR49" s="4">
        <f>IF(AND(LEN(C49)=16,RIGHT(C49,1)=AJ49),"OK","ERRORE")</f>
        <v/>
      </c>
      <c r="AS49" s="12">
        <f>COUNTIF(AK49:AR49,"ERRORE")</f>
        <v/>
      </c>
    </row>
    <row r="50">
      <c r="A50" s="15" t="inlineStr">
        <is>
          <t>B046</t>
        </is>
      </c>
      <c r="B50" s="15" t="inlineStr">
        <is>
          <t>B</t>
        </is>
      </c>
      <c r="C50" s="15" t="inlineStr">
        <is>
          <t>PRTPFD79T56Z382O</t>
        </is>
      </c>
      <c r="D50" s="15" t="inlineStr">
        <is>
          <t>6</t>
        </is>
      </c>
      <c r="E50" s="16" t="n">
        <v>37521</v>
      </c>
      <c r="F50" s="17" t="n">
        <v>1</v>
      </c>
      <c r="G50" s="15" t="inlineStr"/>
      <c r="H50" s="15" t="b">
        <v>0</v>
      </c>
      <c r="I50" s="17" t="n">
        <v>1539.7</v>
      </c>
      <c r="J50" s="15" t="n">
        <v>7</v>
      </c>
      <c r="K50" s="17" t="n">
        <v>138.11</v>
      </c>
      <c r="L50" s="17" t="n">
        <v>150</v>
      </c>
      <c r="M50" s="17" t="n">
        <v>0</v>
      </c>
      <c r="N50" s="17" t="n">
        <v>1827.81</v>
      </c>
      <c r="O50" s="17" t="n">
        <v>167.98</v>
      </c>
      <c r="P50" s="17" t="n">
        <v>1659.83</v>
      </c>
      <c r="Q50" s="17" t="n">
        <v>235.24</v>
      </c>
      <c r="R50" s="17" t="n">
        <v>24.9</v>
      </c>
      <c r="S50" s="17" t="n">
        <v>1399.69</v>
      </c>
      <c r="T50" s="17" t="n">
        <v>157.96</v>
      </c>
      <c r="U50" s="18" t="n">
        <v>2.1667</v>
      </c>
      <c r="V50" s="18" t="n">
        <v>1</v>
      </c>
      <c r="W50" s="18" t="n">
        <v>22.3351</v>
      </c>
      <c r="X50" s="19">
        <f>ROUND(INDEX(CCNL!$F$5:$F$12,MATCH(D50,CCNL!$A$5:$A$12,0))*F50,2)</f>
        <v/>
      </c>
      <c r="Y50" s="4">
        <f>(YEAR(Parametri!$C$5)*12+MONTH(Parametri!$C$5))-(YEAR(E50)*12+MONTH(E50))</f>
        <v/>
      </c>
      <c r="Z50" s="4">
        <f>MIN(Parametri!$C$13,MAX(0,INT((Y50-1)/36)))</f>
        <v/>
      </c>
      <c r="AA50" s="19">
        <f>ROUND(INDEX(CCNL!$I$5:$I$12,MATCH(D50,CCNL!$A$5:$A$12,0))*Z50*F50,2)</f>
        <v/>
      </c>
      <c r="AB50" s="19">
        <f>ROUND(N50*Parametri!$C$6,2)</f>
        <v/>
      </c>
      <c r="AC50" s="19">
        <f>ROUND((I50+K50+L50)*Parametri!$C$8/Parametri!$C$7/12,2)</f>
        <v/>
      </c>
      <c r="AD50" s="20">
        <f>IFERROR(INDEX(Agosto!$D$5:$D$173,MATCH(A50,Agosto!$A$5:$A$173,0)),0)</f>
        <v/>
      </c>
      <c r="AE50" s="21">
        <f>ROUND(AD50+ROUND(Parametri!$C$9/12,4)-V50,4)</f>
        <v/>
      </c>
      <c r="AF50" s="19">
        <f>ROUND(I50+K50+L50+M50,2)</f>
        <v/>
      </c>
      <c r="AG50" s="19">
        <f>ROUND(N50-O50-Q50-R50,2)</f>
        <v/>
      </c>
      <c r="AH50" s="22">
        <f>IFERROR(INDEX(Agosto!$C$5:$C$173,MATCH(A50,Agosto!$A$5:$A$173,0)),"")</f>
        <v/>
      </c>
      <c r="AI50" s="23">
        <f>IF(AH50="","",S50/AH50-1)</f>
        <v/>
      </c>
      <c r="AJ50" s="4">
        <f>CHAR(65+MOD(SUMPRODUCT(SUMIF('Codice fiscale'!$A$5:$A$40,MID(C50,{1,3,5,7,9,11,13,15},1),'Codice fiscale'!$B$5:$B$40))+SUMPRODUCT(SUMIF('Codice fiscale'!$A$5:$A$40,MID(C50,{2,4,6,8,10,12,14},1),'Codice fiscale'!$C$5:$C$40)),26))</f>
        <v/>
      </c>
      <c r="AK50" s="4">
        <f>IF(ABS(I50-X50)&gt;Parametri!$C$11,"ERRORE","OK")</f>
        <v/>
      </c>
      <c r="AL50" s="4">
        <f>IF(ABS(K50-AA50)&gt;Parametri!$C$11,"ERRORE","OK")</f>
        <v/>
      </c>
      <c r="AM50" s="4">
        <f>IF(ABS(O50-AB50)&gt;Parametri!$C$11,"ERRORE","OK")</f>
        <v/>
      </c>
      <c r="AN50" s="4">
        <f>IF(ABS(T50-AC50)&gt;Parametri!$C$11,"ERRORE","OK")</f>
        <v/>
      </c>
      <c r="AO50" s="4">
        <f>IF(ABS(W50-AE50)&gt;Parametri!$C$12,"ERRORE","OK")</f>
        <v/>
      </c>
      <c r="AP50" s="4">
        <f>IF(OR(ABS(N50-AF50)&gt;Parametri!$C$11,ABS(S50-AG50)&gt;Parametri!$C$11),"ERRORE","OK")</f>
        <v/>
      </c>
      <c r="AQ50" s="4">
        <f>IF(AI50="","OK",IF(AND(ABS(AI50)&gt;Parametri!$C$10,G50=""),"ERRORE","OK"))</f>
        <v/>
      </c>
      <c r="AR50" s="4">
        <f>IF(AND(LEN(C50)=16,RIGHT(C50,1)=AJ50),"OK","ERRORE")</f>
        <v/>
      </c>
      <c r="AS50" s="12">
        <f>COUNTIF(AK50:AR50,"ERRORE")</f>
        <v/>
      </c>
    </row>
    <row r="51">
      <c r="A51" s="15" t="inlineStr">
        <is>
          <t>B047</t>
        </is>
      </c>
      <c r="B51" s="15" t="inlineStr">
        <is>
          <t>B</t>
        </is>
      </c>
      <c r="C51" s="15" t="inlineStr">
        <is>
          <t>ZDDGPT71C66Z282S</t>
        </is>
      </c>
      <c r="D51" s="15" t="inlineStr">
        <is>
          <t>1</t>
        </is>
      </c>
      <c r="E51" s="16" t="n">
        <v>45162</v>
      </c>
      <c r="F51" s="17" t="n">
        <v>1</v>
      </c>
      <c r="G51" s="15" t="inlineStr"/>
      <c r="H51" s="15" t="b">
        <v>1</v>
      </c>
      <c r="I51" s="17" t="n">
        <v>2504.07</v>
      </c>
      <c r="J51" s="15" t="n">
        <v>0</v>
      </c>
      <c r="K51" s="17" t="n">
        <v>0</v>
      </c>
      <c r="L51" s="17" t="n">
        <v>80</v>
      </c>
      <c r="M51" s="17" t="n">
        <v>0</v>
      </c>
      <c r="N51" s="17" t="n">
        <v>2584.07</v>
      </c>
      <c r="O51" s="17" t="n">
        <v>237.48</v>
      </c>
      <c r="P51" s="17" t="n">
        <v>2346.59</v>
      </c>
      <c r="Q51" s="17" t="n">
        <v>421.99</v>
      </c>
      <c r="R51" s="17" t="n">
        <v>35.2</v>
      </c>
      <c r="S51" s="17" t="n">
        <v>1889.4</v>
      </c>
      <c r="T51" s="17" t="n">
        <v>223.31</v>
      </c>
      <c r="U51" s="18" t="n">
        <v>2.1667</v>
      </c>
      <c r="V51" s="18" t="n">
        <v>2</v>
      </c>
      <c r="W51" s="18" t="n">
        <v>5.4359</v>
      </c>
      <c r="X51" s="19">
        <f>ROUND(INDEX(CCNL!$F$5:$F$12,MATCH(D51,CCNL!$A$5:$A$12,0))*F51,2)</f>
        <v/>
      </c>
      <c r="Y51" s="4">
        <f>(YEAR(Parametri!$C$5)*12+MONTH(Parametri!$C$5))-(YEAR(E51)*12+MONTH(E51))</f>
        <v/>
      </c>
      <c r="Z51" s="4">
        <f>MIN(Parametri!$C$13,MAX(0,INT((Y51-1)/36)))</f>
        <v/>
      </c>
      <c r="AA51" s="19">
        <f>ROUND(INDEX(CCNL!$I$5:$I$12,MATCH(D51,CCNL!$A$5:$A$12,0))*Z51*F51,2)</f>
        <v/>
      </c>
      <c r="AB51" s="19">
        <f>ROUND(N51*Parametri!$C$6,2)</f>
        <v/>
      </c>
      <c r="AC51" s="19">
        <f>ROUND((I51+K51+L51)*Parametri!$C$8/Parametri!$C$7/12,2)</f>
        <v/>
      </c>
      <c r="AD51" s="20">
        <f>IFERROR(INDEX(Agosto!$D$5:$D$173,MATCH(A51,Agosto!$A$5:$A$173,0)),0)</f>
        <v/>
      </c>
      <c r="AE51" s="21">
        <f>ROUND(AD51+ROUND(Parametri!$C$9/12,4)-V51,4)</f>
        <v/>
      </c>
      <c r="AF51" s="19">
        <f>ROUND(I51+K51+L51+M51,2)</f>
        <v/>
      </c>
      <c r="AG51" s="19">
        <f>ROUND(N51-O51-Q51-R51,2)</f>
        <v/>
      </c>
      <c r="AH51" s="22">
        <f>IFERROR(INDEX(Agosto!$C$5:$C$173,MATCH(A51,Agosto!$A$5:$A$173,0)),"")</f>
        <v/>
      </c>
      <c r="AI51" s="23">
        <f>IF(AH51="","",S51/AH51-1)</f>
        <v/>
      </c>
      <c r="AJ51" s="4">
        <f>CHAR(65+MOD(SUMPRODUCT(SUMIF('Codice fiscale'!$A$5:$A$40,MID(C51,{1,3,5,7,9,11,13,15},1),'Codice fiscale'!$B$5:$B$40))+SUMPRODUCT(SUMIF('Codice fiscale'!$A$5:$A$40,MID(C51,{2,4,6,8,10,12,14},1),'Codice fiscale'!$C$5:$C$40)),26))</f>
        <v/>
      </c>
      <c r="AK51" s="4">
        <f>IF(ABS(I51-X51)&gt;Parametri!$C$11,"ERRORE","OK")</f>
        <v/>
      </c>
      <c r="AL51" s="4">
        <f>IF(ABS(K51-AA51)&gt;Parametri!$C$11,"ERRORE","OK")</f>
        <v/>
      </c>
      <c r="AM51" s="4">
        <f>IF(ABS(O51-AB51)&gt;Parametri!$C$11,"ERRORE","OK")</f>
        <v/>
      </c>
      <c r="AN51" s="4">
        <f>IF(ABS(T51-AC51)&gt;Parametri!$C$11,"ERRORE","OK")</f>
        <v/>
      </c>
      <c r="AO51" s="4">
        <f>IF(ABS(W51-AE51)&gt;Parametri!$C$12,"ERRORE","OK")</f>
        <v/>
      </c>
      <c r="AP51" s="4">
        <f>IF(OR(ABS(N51-AF51)&gt;Parametri!$C$11,ABS(S51-AG51)&gt;Parametri!$C$11),"ERRORE","OK")</f>
        <v/>
      </c>
      <c r="AQ51" s="4">
        <f>IF(AI51="","OK",IF(AND(ABS(AI51)&gt;Parametri!$C$10,G51=""),"ERRORE","OK"))</f>
        <v/>
      </c>
      <c r="AR51" s="4">
        <f>IF(AND(LEN(C51)=16,RIGHT(C51,1)=AJ51),"OK","ERRORE")</f>
        <v/>
      </c>
      <c r="AS51" s="12">
        <f>COUNTIF(AK51:AR51,"ERRORE")</f>
        <v/>
      </c>
    </row>
    <row r="52">
      <c r="A52" s="15" t="inlineStr">
        <is>
          <t>B048</t>
        </is>
      </c>
      <c r="B52" s="15" t="inlineStr">
        <is>
          <t>B</t>
        </is>
      </c>
      <c r="C52" s="15" t="inlineStr">
        <is>
          <t>GFPLPC65C62Z338Z</t>
        </is>
      </c>
      <c r="D52" s="15" t="inlineStr">
        <is>
          <t>4</t>
        </is>
      </c>
      <c r="E52" s="16" t="n">
        <v>38189</v>
      </c>
      <c r="F52" s="17" t="n">
        <v>0.5</v>
      </c>
      <c r="G52" s="15" t="inlineStr"/>
      <c r="H52" s="15" t="b">
        <v>1</v>
      </c>
      <c r="I52" s="17" t="n">
        <v>890.84</v>
      </c>
      <c r="J52" s="15" t="n">
        <v>7</v>
      </c>
      <c r="K52" s="17" t="n">
        <v>72.31</v>
      </c>
      <c r="L52" s="17" t="n">
        <v>0</v>
      </c>
      <c r="M52" s="17" t="n">
        <v>0</v>
      </c>
      <c r="N52" s="17" t="n">
        <v>963.15</v>
      </c>
      <c r="O52" s="17" t="n">
        <v>88.51000000000001</v>
      </c>
      <c r="P52" s="17" t="n">
        <v>874.64</v>
      </c>
      <c r="Q52" s="17" t="n">
        <v>38.25</v>
      </c>
      <c r="R52" s="17" t="n">
        <v>13.12</v>
      </c>
      <c r="S52" s="17" t="n">
        <v>823.27</v>
      </c>
      <c r="T52" s="17" t="n">
        <v>83.23999999999999</v>
      </c>
      <c r="U52" s="18" t="n">
        <v>2.1667</v>
      </c>
      <c r="V52" s="18" t="n">
        <v>0</v>
      </c>
      <c r="W52" s="18" t="n">
        <v>23.314</v>
      </c>
      <c r="X52" s="19">
        <f>ROUND(INDEX(CCNL!$F$5:$F$12,MATCH(D52,CCNL!$A$5:$A$12,0))*F52,2)</f>
        <v/>
      </c>
      <c r="Y52" s="4">
        <f>(YEAR(Parametri!$C$5)*12+MONTH(Parametri!$C$5))-(YEAR(E52)*12+MONTH(E52))</f>
        <v/>
      </c>
      <c r="Z52" s="4">
        <f>MIN(Parametri!$C$13,MAX(0,INT((Y52-1)/36)))</f>
        <v/>
      </c>
      <c r="AA52" s="19">
        <f>ROUND(INDEX(CCNL!$I$5:$I$12,MATCH(D52,CCNL!$A$5:$A$12,0))*Z52*F52,2)</f>
        <v/>
      </c>
      <c r="AB52" s="19">
        <f>ROUND(N52*Parametri!$C$6,2)</f>
        <v/>
      </c>
      <c r="AC52" s="19">
        <f>ROUND((I52+K52+L52)*Parametri!$C$8/Parametri!$C$7/12,2)</f>
        <v/>
      </c>
      <c r="AD52" s="20">
        <f>IFERROR(INDEX(Agosto!$D$5:$D$173,MATCH(A52,Agosto!$A$5:$A$173,0)),0)</f>
        <v/>
      </c>
      <c r="AE52" s="21">
        <f>ROUND(AD52+ROUND(Parametri!$C$9/12,4)-V52,4)</f>
        <v/>
      </c>
      <c r="AF52" s="19">
        <f>ROUND(I52+K52+L52+M52,2)</f>
        <v/>
      </c>
      <c r="AG52" s="19">
        <f>ROUND(N52-O52-Q52-R52,2)</f>
        <v/>
      </c>
      <c r="AH52" s="22">
        <f>IFERROR(INDEX(Agosto!$C$5:$C$173,MATCH(A52,Agosto!$A$5:$A$173,0)),"")</f>
        <v/>
      </c>
      <c r="AI52" s="23">
        <f>IF(AH52="","",S52/AH52-1)</f>
        <v/>
      </c>
      <c r="AJ52" s="4">
        <f>CHAR(65+MOD(SUMPRODUCT(SUMIF('Codice fiscale'!$A$5:$A$40,MID(C52,{1,3,5,7,9,11,13,15},1),'Codice fiscale'!$B$5:$B$40))+SUMPRODUCT(SUMIF('Codice fiscale'!$A$5:$A$40,MID(C52,{2,4,6,8,10,12,14},1),'Codice fiscale'!$C$5:$C$40)),26))</f>
        <v/>
      </c>
      <c r="AK52" s="4">
        <f>IF(ABS(I52-X52)&gt;Parametri!$C$11,"ERRORE","OK")</f>
        <v/>
      </c>
      <c r="AL52" s="4">
        <f>IF(ABS(K52-AA52)&gt;Parametri!$C$11,"ERRORE","OK")</f>
        <v/>
      </c>
      <c r="AM52" s="4">
        <f>IF(ABS(O52-AB52)&gt;Parametri!$C$11,"ERRORE","OK")</f>
        <v/>
      </c>
      <c r="AN52" s="4">
        <f>IF(ABS(T52-AC52)&gt;Parametri!$C$11,"ERRORE","OK")</f>
        <v/>
      </c>
      <c r="AO52" s="4">
        <f>IF(ABS(W52-AE52)&gt;Parametri!$C$12,"ERRORE","OK")</f>
        <v/>
      </c>
      <c r="AP52" s="4">
        <f>IF(OR(ABS(N52-AF52)&gt;Parametri!$C$11,ABS(S52-AG52)&gt;Parametri!$C$11),"ERRORE","OK")</f>
        <v/>
      </c>
      <c r="AQ52" s="4">
        <f>IF(AI52="","OK",IF(AND(ABS(AI52)&gt;Parametri!$C$10,G52=""),"ERRORE","OK"))</f>
        <v/>
      </c>
      <c r="AR52" s="4">
        <f>IF(AND(LEN(C52)=16,RIGHT(C52,1)=AJ52),"OK","ERRORE")</f>
        <v/>
      </c>
      <c r="AS52" s="12">
        <f>COUNTIF(AK52:AR52,"ERRORE")</f>
        <v/>
      </c>
    </row>
    <row r="53">
      <c r="A53" s="15" t="inlineStr">
        <is>
          <t>B049</t>
        </is>
      </c>
      <c r="B53" s="15" t="inlineStr">
        <is>
          <t>B</t>
        </is>
      </c>
      <c r="C53" s="15" t="inlineStr">
        <is>
          <t>LRZTTZ82C63Z231S</t>
        </is>
      </c>
      <c r="D53" s="15" t="inlineStr">
        <is>
          <t>Quadri</t>
        </is>
      </c>
      <c r="E53" s="16" t="n">
        <v>42751</v>
      </c>
      <c r="F53" s="17" t="n">
        <v>1</v>
      </c>
      <c r="G53" s="15" t="inlineStr"/>
      <c r="H53" s="15" t="b">
        <v>1</v>
      </c>
      <c r="I53" s="17" t="n">
        <v>2723.45</v>
      </c>
      <c r="J53" s="15" t="n">
        <v>3</v>
      </c>
      <c r="K53" s="17" t="n">
        <v>76.38</v>
      </c>
      <c r="L53" s="17" t="n">
        <v>0</v>
      </c>
      <c r="M53" s="17" t="n">
        <v>0</v>
      </c>
      <c r="N53" s="17" t="n">
        <v>2799.83</v>
      </c>
      <c r="O53" s="17" t="n">
        <v>257.3</v>
      </c>
      <c r="P53" s="17" t="n">
        <v>2542.53</v>
      </c>
      <c r="Q53" s="17" t="n">
        <v>494.49</v>
      </c>
      <c r="R53" s="17" t="n">
        <v>38.14</v>
      </c>
      <c r="S53" s="17" t="n">
        <v>2009.9</v>
      </c>
      <c r="T53" s="17" t="n">
        <v>241.96</v>
      </c>
      <c r="U53" s="18" t="n">
        <v>2.1667</v>
      </c>
      <c r="V53" s="18" t="n">
        <v>2</v>
      </c>
      <c r="W53" s="18" t="n">
        <v>11.6962</v>
      </c>
      <c r="X53" s="19">
        <f>ROUND(INDEX(CCNL!$F$5:$F$12,MATCH(D53,CCNL!$A$5:$A$12,0))*F53,2)</f>
        <v/>
      </c>
      <c r="Y53" s="4">
        <f>(YEAR(Parametri!$C$5)*12+MONTH(Parametri!$C$5))-(YEAR(E53)*12+MONTH(E53))</f>
        <v/>
      </c>
      <c r="Z53" s="4">
        <f>MIN(Parametri!$C$13,MAX(0,INT((Y53-1)/36)))</f>
        <v/>
      </c>
      <c r="AA53" s="19">
        <f>ROUND(INDEX(CCNL!$I$5:$I$12,MATCH(D53,CCNL!$A$5:$A$12,0))*Z53*F53,2)</f>
        <v/>
      </c>
      <c r="AB53" s="19">
        <f>ROUND(N53*Parametri!$C$6,2)</f>
        <v/>
      </c>
      <c r="AC53" s="19">
        <f>ROUND((I53+K53+L53)*Parametri!$C$8/Parametri!$C$7/12,2)</f>
        <v/>
      </c>
      <c r="AD53" s="20">
        <f>IFERROR(INDEX(Agosto!$D$5:$D$173,MATCH(A53,Agosto!$A$5:$A$173,0)),0)</f>
        <v/>
      </c>
      <c r="AE53" s="21">
        <f>ROUND(AD53+ROUND(Parametri!$C$9/12,4)-V53,4)</f>
        <v/>
      </c>
      <c r="AF53" s="19">
        <f>ROUND(I53+K53+L53+M53,2)</f>
        <v/>
      </c>
      <c r="AG53" s="19">
        <f>ROUND(N53-O53-Q53-R53,2)</f>
        <v/>
      </c>
      <c r="AH53" s="22">
        <f>IFERROR(INDEX(Agosto!$C$5:$C$173,MATCH(A53,Agosto!$A$5:$A$173,0)),"")</f>
        <v/>
      </c>
      <c r="AI53" s="23">
        <f>IF(AH53="","",S53/AH53-1)</f>
        <v/>
      </c>
      <c r="AJ53" s="4">
        <f>CHAR(65+MOD(SUMPRODUCT(SUMIF('Codice fiscale'!$A$5:$A$40,MID(C53,{1,3,5,7,9,11,13,15},1),'Codice fiscale'!$B$5:$B$40))+SUMPRODUCT(SUMIF('Codice fiscale'!$A$5:$A$40,MID(C53,{2,4,6,8,10,12,14},1),'Codice fiscale'!$C$5:$C$40)),26))</f>
        <v/>
      </c>
      <c r="AK53" s="4">
        <f>IF(ABS(I53-X53)&gt;Parametri!$C$11,"ERRORE","OK")</f>
        <v/>
      </c>
      <c r="AL53" s="4">
        <f>IF(ABS(K53-AA53)&gt;Parametri!$C$11,"ERRORE","OK")</f>
        <v/>
      </c>
      <c r="AM53" s="4">
        <f>IF(ABS(O53-AB53)&gt;Parametri!$C$11,"ERRORE","OK")</f>
        <v/>
      </c>
      <c r="AN53" s="4">
        <f>IF(ABS(T53-AC53)&gt;Parametri!$C$11,"ERRORE","OK")</f>
        <v/>
      </c>
      <c r="AO53" s="4">
        <f>IF(ABS(W53-AE53)&gt;Parametri!$C$12,"ERRORE","OK")</f>
        <v/>
      </c>
      <c r="AP53" s="4">
        <f>IF(OR(ABS(N53-AF53)&gt;Parametri!$C$11,ABS(S53-AG53)&gt;Parametri!$C$11),"ERRORE","OK")</f>
        <v/>
      </c>
      <c r="AQ53" s="4">
        <f>IF(AI53="","OK",IF(AND(ABS(AI53)&gt;Parametri!$C$10,G53=""),"ERRORE","OK"))</f>
        <v/>
      </c>
      <c r="AR53" s="4">
        <f>IF(AND(LEN(C53)=16,RIGHT(C53,1)=AJ53),"OK","ERRORE")</f>
        <v/>
      </c>
      <c r="AS53" s="12">
        <f>COUNTIF(AK53:AR53,"ERRORE")</f>
        <v/>
      </c>
    </row>
    <row r="54">
      <c r="A54" s="15" t="inlineStr">
        <is>
          <t>B050</t>
        </is>
      </c>
      <c r="B54" s="15" t="inlineStr">
        <is>
          <t>B</t>
        </is>
      </c>
      <c r="C54" s="15" t="inlineStr">
        <is>
          <t>FFSNFL94D68Z181B</t>
        </is>
      </c>
      <c r="D54" s="15" t="inlineStr">
        <is>
          <t>5</t>
        </is>
      </c>
      <c r="E54" s="16" t="n">
        <v>46067</v>
      </c>
      <c r="F54" s="17" t="n">
        <v>1</v>
      </c>
      <c r="G54" s="15" t="inlineStr">
        <is>
          <t>straordinari</t>
        </is>
      </c>
      <c r="H54" s="15" t="b">
        <v>1</v>
      </c>
      <c r="I54" s="17" t="n">
        <v>1658.01</v>
      </c>
      <c r="J54" s="15" t="n">
        <v>0</v>
      </c>
      <c r="K54" s="17" t="n">
        <v>0</v>
      </c>
      <c r="L54" s="17" t="n">
        <v>0</v>
      </c>
      <c r="M54" s="17" t="n">
        <v>513.85</v>
      </c>
      <c r="N54" s="17" t="n">
        <v>2171.86</v>
      </c>
      <c r="O54" s="17" t="n">
        <v>199.59</v>
      </c>
      <c r="P54" s="17" t="n">
        <v>1972.27</v>
      </c>
      <c r="Q54" s="17" t="n">
        <v>319.6</v>
      </c>
      <c r="R54" s="17" t="n">
        <v>29.58</v>
      </c>
      <c r="S54" s="17" t="n">
        <v>1623.09</v>
      </c>
      <c r="T54" s="17" t="n">
        <v>143.28</v>
      </c>
      <c r="U54" s="18" t="n">
        <v>2.1667</v>
      </c>
      <c r="V54" s="18" t="n">
        <v>2</v>
      </c>
      <c r="W54" s="18" t="n">
        <v>2.3796</v>
      </c>
      <c r="X54" s="19">
        <f>ROUND(INDEX(CCNL!$F$5:$F$12,MATCH(D54,CCNL!$A$5:$A$12,0))*F54,2)</f>
        <v/>
      </c>
      <c r="Y54" s="4">
        <f>(YEAR(Parametri!$C$5)*12+MONTH(Parametri!$C$5))-(YEAR(E54)*12+MONTH(E54))</f>
        <v/>
      </c>
      <c r="Z54" s="4">
        <f>MIN(Parametri!$C$13,MAX(0,INT((Y54-1)/36)))</f>
        <v/>
      </c>
      <c r="AA54" s="19">
        <f>ROUND(INDEX(CCNL!$I$5:$I$12,MATCH(D54,CCNL!$A$5:$A$12,0))*Z54*F54,2)</f>
        <v/>
      </c>
      <c r="AB54" s="19">
        <f>ROUND(N54*Parametri!$C$6,2)</f>
        <v/>
      </c>
      <c r="AC54" s="19">
        <f>ROUND((I54+K54+L54)*Parametri!$C$8/Parametri!$C$7/12,2)</f>
        <v/>
      </c>
      <c r="AD54" s="20">
        <f>IFERROR(INDEX(Agosto!$D$5:$D$173,MATCH(A54,Agosto!$A$5:$A$173,0)),0)</f>
        <v/>
      </c>
      <c r="AE54" s="21">
        <f>ROUND(AD54+ROUND(Parametri!$C$9/12,4)-V54,4)</f>
        <v/>
      </c>
      <c r="AF54" s="19">
        <f>ROUND(I54+K54+L54+M54,2)</f>
        <v/>
      </c>
      <c r="AG54" s="19">
        <f>ROUND(N54-O54-Q54-R54,2)</f>
        <v/>
      </c>
      <c r="AH54" s="22">
        <f>IFERROR(INDEX(Agosto!$C$5:$C$173,MATCH(A54,Agosto!$A$5:$A$173,0)),"")</f>
        <v/>
      </c>
      <c r="AI54" s="23">
        <f>IF(AH54="","",S54/AH54-1)</f>
        <v/>
      </c>
      <c r="AJ54" s="4">
        <f>CHAR(65+MOD(SUMPRODUCT(SUMIF('Codice fiscale'!$A$5:$A$40,MID(C54,{1,3,5,7,9,11,13,15},1),'Codice fiscale'!$B$5:$B$40))+SUMPRODUCT(SUMIF('Codice fiscale'!$A$5:$A$40,MID(C54,{2,4,6,8,10,12,14},1),'Codice fiscale'!$C$5:$C$40)),26))</f>
        <v/>
      </c>
      <c r="AK54" s="4">
        <f>IF(ABS(I54-X54)&gt;Parametri!$C$11,"ERRORE","OK")</f>
        <v/>
      </c>
      <c r="AL54" s="4">
        <f>IF(ABS(K54-AA54)&gt;Parametri!$C$11,"ERRORE","OK")</f>
        <v/>
      </c>
      <c r="AM54" s="4">
        <f>IF(ABS(O54-AB54)&gt;Parametri!$C$11,"ERRORE","OK")</f>
        <v/>
      </c>
      <c r="AN54" s="4">
        <f>IF(ABS(T54-AC54)&gt;Parametri!$C$11,"ERRORE","OK")</f>
        <v/>
      </c>
      <c r="AO54" s="4">
        <f>IF(ABS(W54-AE54)&gt;Parametri!$C$12,"ERRORE","OK")</f>
        <v/>
      </c>
      <c r="AP54" s="4">
        <f>IF(OR(ABS(N54-AF54)&gt;Parametri!$C$11,ABS(S54-AG54)&gt;Parametri!$C$11),"ERRORE","OK")</f>
        <v/>
      </c>
      <c r="AQ54" s="4">
        <f>IF(AI54="","OK",IF(AND(ABS(AI54)&gt;Parametri!$C$10,G54=""),"ERRORE","OK"))</f>
        <v/>
      </c>
      <c r="AR54" s="4">
        <f>IF(AND(LEN(C54)=16,RIGHT(C54,1)=AJ54),"OK","ERRORE")</f>
        <v/>
      </c>
      <c r="AS54" s="12">
        <f>COUNTIF(AK54:AR54,"ERRORE")</f>
        <v/>
      </c>
    </row>
    <row r="55">
      <c r="A55" s="15" t="inlineStr">
        <is>
          <t>B051</t>
        </is>
      </c>
      <c r="B55" s="15" t="inlineStr">
        <is>
          <t>B</t>
        </is>
      </c>
      <c r="C55" s="15" t="inlineStr">
        <is>
          <t>PRNCFT89M28Z200Q</t>
        </is>
      </c>
      <c r="D55" s="15" t="inlineStr">
        <is>
          <t>7</t>
        </is>
      </c>
      <c r="E55" s="16" t="n">
        <v>43806</v>
      </c>
      <c r="F55" s="17" t="n">
        <v>1</v>
      </c>
      <c r="G55" s="15" t="inlineStr"/>
      <c r="H55" s="15" t="b">
        <v>1</v>
      </c>
      <c r="I55" s="17" t="n">
        <v>1395.89</v>
      </c>
      <c r="J55" s="15" t="n">
        <v>2</v>
      </c>
      <c r="K55" s="17" t="n">
        <v>38.94</v>
      </c>
      <c r="L55" s="17" t="n">
        <v>200</v>
      </c>
      <c r="M55" s="17" t="n">
        <v>0</v>
      </c>
      <c r="N55" s="17" t="n">
        <v>1634.83</v>
      </c>
      <c r="O55" s="17" t="n">
        <v>150.24</v>
      </c>
      <c r="P55" s="17" t="n">
        <v>1484.59</v>
      </c>
      <c r="Q55" s="17" t="n">
        <v>187.92</v>
      </c>
      <c r="R55" s="17" t="n">
        <v>22.27</v>
      </c>
      <c r="S55" s="17" t="n">
        <v>1274.4</v>
      </c>
      <c r="T55" s="17" t="n">
        <v>141.28</v>
      </c>
      <c r="U55" s="18" t="n">
        <v>2.1667</v>
      </c>
      <c r="V55" s="18" t="n">
        <v>2</v>
      </c>
      <c r="W55" s="18" t="n">
        <v>12.4824</v>
      </c>
      <c r="X55" s="19">
        <f>ROUND(INDEX(CCNL!$F$5:$F$12,MATCH(D55,CCNL!$A$5:$A$12,0))*F55,2)</f>
        <v/>
      </c>
      <c r="Y55" s="4">
        <f>(YEAR(Parametri!$C$5)*12+MONTH(Parametri!$C$5))-(YEAR(E55)*12+MONTH(E55))</f>
        <v/>
      </c>
      <c r="Z55" s="4">
        <f>MIN(Parametri!$C$13,MAX(0,INT((Y55-1)/36)))</f>
        <v/>
      </c>
      <c r="AA55" s="19">
        <f>ROUND(INDEX(CCNL!$I$5:$I$12,MATCH(D55,CCNL!$A$5:$A$12,0))*Z55*F55,2)</f>
        <v/>
      </c>
      <c r="AB55" s="19">
        <f>ROUND(N55*Parametri!$C$6,2)</f>
        <v/>
      </c>
      <c r="AC55" s="19">
        <f>ROUND((I55+K55+L55)*Parametri!$C$8/Parametri!$C$7/12,2)</f>
        <v/>
      </c>
      <c r="AD55" s="20">
        <f>IFERROR(INDEX(Agosto!$D$5:$D$173,MATCH(A55,Agosto!$A$5:$A$173,0)),0)</f>
        <v/>
      </c>
      <c r="AE55" s="21">
        <f>ROUND(AD55+ROUND(Parametri!$C$9/12,4)-V55,4)</f>
        <v/>
      </c>
      <c r="AF55" s="19">
        <f>ROUND(I55+K55+L55+M55,2)</f>
        <v/>
      </c>
      <c r="AG55" s="19">
        <f>ROUND(N55-O55-Q55-R55,2)</f>
        <v/>
      </c>
      <c r="AH55" s="22">
        <f>IFERROR(INDEX(Agosto!$C$5:$C$173,MATCH(A55,Agosto!$A$5:$A$173,0)),"")</f>
        <v/>
      </c>
      <c r="AI55" s="23">
        <f>IF(AH55="","",S55/AH55-1)</f>
        <v/>
      </c>
      <c r="AJ55" s="4">
        <f>CHAR(65+MOD(SUMPRODUCT(SUMIF('Codice fiscale'!$A$5:$A$40,MID(C55,{1,3,5,7,9,11,13,15},1),'Codice fiscale'!$B$5:$B$40))+SUMPRODUCT(SUMIF('Codice fiscale'!$A$5:$A$40,MID(C55,{2,4,6,8,10,12,14},1),'Codice fiscale'!$C$5:$C$40)),26))</f>
        <v/>
      </c>
      <c r="AK55" s="4">
        <f>IF(ABS(I55-X55)&gt;Parametri!$C$11,"ERRORE","OK")</f>
        <v/>
      </c>
      <c r="AL55" s="4">
        <f>IF(ABS(K55-AA55)&gt;Parametri!$C$11,"ERRORE","OK")</f>
        <v/>
      </c>
      <c r="AM55" s="4">
        <f>IF(ABS(O55-AB55)&gt;Parametri!$C$11,"ERRORE","OK")</f>
        <v/>
      </c>
      <c r="AN55" s="4">
        <f>IF(ABS(T55-AC55)&gt;Parametri!$C$11,"ERRORE","OK")</f>
        <v/>
      </c>
      <c r="AO55" s="4">
        <f>IF(ABS(W55-AE55)&gt;Parametri!$C$12,"ERRORE","OK")</f>
        <v/>
      </c>
      <c r="AP55" s="4">
        <f>IF(OR(ABS(N55-AF55)&gt;Parametri!$C$11,ABS(S55-AG55)&gt;Parametri!$C$11),"ERRORE","OK")</f>
        <v/>
      </c>
      <c r="AQ55" s="4">
        <f>IF(AI55="","OK",IF(AND(ABS(AI55)&gt;Parametri!$C$10,G55=""),"ERRORE","OK"))</f>
        <v/>
      </c>
      <c r="AR55" s="4">
        <f>IF(AND(LEN(C55)=16,RIGHT(C55,1)=AJ55),"OK","ERRORE")</f>
        <v/>
      </c>
      <c r="AS55" s="12">
        <f>COUNTIF(AK55:AR55,"ERRORE")</f>
        <v/>
      </c>
    </row>
    <row r="56">
      <c r="A56" s="15" t="inlineStr">
        <is>
          <t>B052</t>
        </is>
      </c>
      <c r="B56" s="15" t="inlineStr">
        <is>
          <t>B</t>
        </is>
      </c>
      <c r="C56" s="15" t="inlineStr">
        <is>
          <t>BPDSSV01T46Z237C</t>
        </is>
      </c>
      <c r="D56" s="15" t="inlineStr">
        <is>
          <t>5</t>
        </is>
      </c>
      <c r="E56" s="16" t="n">
        <v>43897</v>
      </c>
      <c r="F56" s="17" t="n">
        <v>1</v>
      </c>
      <c r="G56" s="15" t="inlineStr"/>
      <c r="H56" s="15" t="b">
        <v>1</v>
      </c>
      <c r="I56" s="17" t="n">
        <v>1626.39</v>
      </c>
      <c r="J56" s="15" t="n">
        <v>2</v>
      </c>
      <c r="K56" s="17" t="n">
        <v>40.6</v>
      </c>
      <c r="L56" s="17" t="n">
        <v>150</v>
      </c>
      <c r="M56" s="17" t="n">
        <v>0</v>
      </c>
      <c r="N56" s="17" t="n">
        <v>1816.99</v>
      </c>
      <c r="O56" s="17" t="n">
        <v>166.98</v>
      </c>
      <c r="P56" s="17" t="n">
        <v>1650.01</v>
      </c>
      <c r="Q56" s="17" t="n">
        <v>232.59</v>
      </c>
      <c r="R56" s="17" t="n">
        <v>24.75</v>
      </c>
      <c r="S56" s="17" t="n">
        <v>1392.67</v>
      </c>
      <c r="T56" s="17" t="n">
        <v>157.02</v>
      </c>
      <c r="U56" s="18" t="n">
        <v>2.1667</v>
      </c>
      <c r="V56" s="18" t="n">
        <v>0</v>
      </c>
      <c r="W56" s="18" t="n">
        <v>19.0869</v>
      </c>
      <c r="X56" s="19">
        <f>ROUND(INDEX(CCNL!$F$5:$F$12,MATCH(D56,CCNL!$A$5:$A$12,0))*F56,2)</f>
        <v/>
      </c>
      <c r="Y56" s="4">
        <f>(YEAR(Parametri!$C$5)*12+MONTH(Parametri!$C$5))-(YEAR(E56)*12+MONTH(E56))</f>
        <v/>
      </c>
      <c r="Z56" s="4">
        <f>MIN(Parametri!$C$13,MAX(0,INT((Y56-1)/36)))</f>
        <v/>
      </c>
      <c r="AA56" s="19">
        <f>ROUND(INDEX(CCNL!$I$5:$I$12,MATCH(D56,CCNL!$A$5:$A$12,0))*Z56*F56,2)</f>
        <v/>
      </c>
      <c r="AB56" s="19">
        <f>ROUND(N56*Parametri!$C$6,2)</f>
        <v/>
      </c>
      <c r="AC56" s="19">
        <f>ROUND((I56+K56+L56)*Parametri!$C$8/Parametri!$C$7/12,2)</f>
        <v/>
      </c>
      <c r="AD56" s="20">
        <f>IFERROR(INDEX(Agosto!$D$5:$D$173,MATCH(A56,Agosto!$A$5:$A$173,0)),0)</f>
        <v/>
      </c>
      <c r="AE56" s="21">
        <f>ROUND(AD56+ROUND(Parametri!$C$9/12,4)-V56,4)</f>
        <v/>
      </c>
      <c r="AF56" s="19">
        <f>ROUND(I56+K56+L56+M56,2)</f>
        <v/>
      </c>
      <c r="AG56" s="19">
        <f>ROUND(N56-O56-Q56-R56,2)</f>
        <v/>
      </c>
      <c r="AH56" s="22">
        <f>IFERROR(INDEX(Agosto!$C$5:$C$173,MATCH(A56,Agosto!$A$5:$A$173,0)),"")</f>
        <v/>
      </c>
      <c r="AI56" s="23">
        <f>IF(AH56="","",S56/AH56-1)</f>
        <v/>
      </c>
      <c r="AJ56" s="4">
        <f>CHAR(65+MOD(SUMPRODUCT(SUMIF('Codice fiscale'!$A$5:$A$40,MID(C56,{1,3,5,7,9,11,13,15},1),'Codice fiscale'!$B$5:$B$40))+SUMPRODUCT(SUMIF('Codice fiscale'!$A$5:$A$40,MID(C56,{2,4,6,8,10,12,14},1),'Codice fiscale'!$C$5:$C$40)),26))</f>
        <v/>
      </c>
      <c r="AK56" s="4">
        <f>IF(ABS(I56-X56)&gt;Parametri!$C$11,"ERRORE","OK")</f>
        <v/>
      </c>
      <c r="AL56" s="4">
        <f>IF(ABS(K56-AA56)&gt;Parametri!$C$11,"ERRORE","OK")</f>
        <v/>
      </c>
      <c r="AM56" s="4">
        <f>IF(ABS(O56-AB56)&gt;Parametri!$C$11,"ERRORE","OK")</f>
        <v/>
      </c>
      <c r="AN56" s="4">
        <f>IF(ABS(T56-AC56)&gt;Parametri!$C$11,"ERRORE","OK")</f>
        <v/>
      </c>
      <c r="AO56" s="4">
        <f>IF(ABS(W56-AE56)&gt;Parametri!$C$12,"ERRORE","OK")</f>
        <v/>
      </c>
      <c r="AP56" s="4">
        <f>IF(OR(ABS(N56-AF56)&gt;Parametri!$C$11,ABS(S56-AG56)&gt;Parametri!$C$11),"ERRORE","OK")</f>
        <v/>
      </c>
      <c r="AQ56" s="4">
        <f>IF(AI56="","OK",IF(AND(ABS(AI56)&gt;Parametri!$C$10,G56=""),"ERRORE","OK"))</f>
        <v/>
      </c>
      <c r="AR56" s="4">
        <f>IF(AND(LEN(C56)=16,RIGHT(C56,1)=AJ56),"OK","ERRORE")</f>
        <v/>
      </c>
      <c r="AS56" s="12">
        <f>COUNTIF(AK56:AR56,"ERRORE")</f>
        <v/>
      </c>
    </row>
    <row r="57">
      <c r="A57" s="15" t="inlineStr">
        <is>
          <t>B053</t>
        </is>
      </c>
      <c r="B57" s="15" t="inlineStr">
        <is>
          <t>B</t>
        </is>
      </c>
      <c r="C57" s="15" t="inlineStr">
        <is>
          <t>VDPFLN62M57Z293L</t>
        </is>
      </c>
      <c r="D57" s="15" t="inlineStr">
        <is>
          <t>4</t>
        </is>
      </c>
      <c r="E57" s="16" t="n">
        <v>45439</v>
      </c>
      <c r="F57" s="17" t="n">
        <v>0.5</v>
      </c>
      <c r="G57" s="15" t="inlineStr"/>
      <c r="H57" s="15" t="b">
        <v>1</v>
      </c>
      <c r="I57" s="17" t="n">
        <v>890.84</v>
      </c>
      <c r="J57" s="15" t="n">
        <v>0</v>
      </c>
      <c r="K57" s="17" t="n">
        <v>0</v>
      </c>
      <c r="L57" s="17" t="n">
        <v>0</v>
      </c>
      <c r="M57" s="17" t="n">
        <v>0</v>
      </c>
      <c r="N57" s="17" t="n">
        <v>890.84</v>
      </c>
      <c r="O57" s="17" t="n">
        <v>81.87</v>
      </c>
      <c r="P57" s="17" t="n">
        <v>808.97</v>
      </c>
      <c r="Q57" s="17" t="n">
        <v>23.15</v>
      </c>
      <c r="R57" s="17" t="n">
        <v>12.13</v>
      </c>
      <c r="S57" s="17" t="n">
        <v>773.6900000000001</v>
      </c>
      <c r="T57" s="17" t="n">
        <v>76.98999999999999</v>
      </c>
      <c r="U57" s="18" t="n">
        <v>2.1667</v>
      </c>
      <c r="V57" s="18" t="n">
        <v>1</v>
      </c>
      <c r="W57" s="18" t="n">
        <v>10.7864</v>
      </c>
      <c r="X57" s="19">
        <f>ROUND(INDEX(CCNL!$F$5:$F$12,MATCH(D57,CCNL!$A$5:$A$12,0))*F57,2)</f>
        <v/>
      </c>
      <c r="Y57" s="4">
        <f>(YEAR(Parametri!$C$5)*12+MONTH(Parametri!$C$5))-(YEAR(E57)*12+MONTH(E57))</f>
        <v/>
      </c>
      <c r="Z57" s="4">
        <f>MIN(Parametri!$C$13,MAX(0,INT((Y57-1)/36)))</f>
        <v/>
      </c>
      <c r="AA57" s="19">
        <f>ROUND(INDEX(CCNL!$I$5:$I$12,MATCH(D57,CCNL!$A$5:$A$12,0))*Z57*F57,2)</f>
        <v/>
      </c>
      <c r="AB57" s="19">
        <f>ROUND(N57*Parametri!$C$6,2)</f>
        <v/>
      </c>
      <c r="AC57" s="19">
        <f>ROUND((I57+K57+L57)*Parametri!$C$8/Parametri!$C$7/12,2)</f>
        <v/>
      </c>
      <c r="AD57" s="20">
        <f>IFERROR(INDEX(Agosto!$D$5:$D$173,MATCH(A57,Agosto!$A$5:$A$173,0)),0)</f>
        <v/>
      </c>
      <c r="AE57" s="21">
        <f>ROUND(AD57+ROUND(Parametri!$C$9/12,4)-V57,4)</f>
        <v/>
      </c>
      <c r="AF57" s="19">
        <f>ROUND(I57+K57+L57+M57,2)</f>
        <v/>
      </c>
      <c r="AG57" s="19">
        <f>ROUND(N57-O57-Q57-R57,2)</f>
        <v/>
      </c>
      <c r="AH57" s="22">
        <f>IFERROR(INDEX(Agosto!$C$5:$C$173,MATCH(A57,Agosto!$A$5:$A$173,0)),"")</f>
        <v/>
      </c>
      <c r="AI57" s="23">
        <f>IF(AH57="","",S57/AH57-1)</f>
        <v/>
      </c>
      <c r="AJ57" s="4">
        <f>CHAR(65+MOD(SUMPRODUCT(SUMIF('Codice fiscale'!$A$5:$A$40,MID(C57,{1,3,5,7,9,11,13,15},1),'Codice fiscale'!$B$5:$B$40))+SUMPRODUCT(SUMIF('Codice fiscale'!$A$5:$A$40,MID(C57,{2,4,6,8,10,12,14},1),'Codice fiscale'!$C$5:$C$40)),26))</f>
        <v/>
      </c>
      <c r="AK57" s="4">
        <f>IF(ABS(I57-X57)&gt;Parametri!$C$11,"ERRORE","OK")</f>
        <v/>
      </c>
      <c r="AL57" s="4">
        <f>IF(ABS(K57-AA57)&gt;Parametri!$C$11,"ERRORE","OK")</f>
        <v/>
      </c>
      <c r="AM57" s="4">
        <f>IF(ABS(O57-AB57)&gt;Parametri!$C$11,"ERRORE","OK")</f>
        <v/>
      </c>
      <c r="AN57" s="4">
        <f>IF(ABS(T57-AC57)&gt;Parametri!$C$11,"ERRORE","OK")</f>
        <v/>
      </c>
      <c r="AO57" s="4">
        <f>IF(ABS(W57-AE57)&gt;Parametri!$C$12,"ERRORE","OK")</f>
        <v/>
      </c>
      <c r="AP57" s="4">
        <f>IF(OR(ABS(N57-AF57)&gt;Parametri!$C$11,ABS(S57-AG57)&gt;Parametri!$C$11),"ERRORE","OK")</f>
        <v/>
      </c>
      <c r="AQ57" s="4">
        <f>IF(AI57="","OK",IF(AND(ABS(AI57)&gt;Parametri!$C$10,G57=""),"ERRORE","OK"))</f>
        <v/>
      </c>
      <c r="AR57" s="4">
        <f>IF(AND(LEN(C57)=16,RIGHT(C57,1)=AJ57),"OK","ERRORE")</f>
        <v/>
      </c>
      <c r="AS57" s="12">
        <f>COUNTIF(AK57:AR57,"ERRORE")</f>
        <v/>
      </c>
    </row>
    <row r="58">
      <c r="A58" s="15" t="inlineStr">
        <is>
          <t>B054</t>
        </is>
      </c>
      <c r="B58" s="15" t="inlineStr">
        <is>
          <t>B</t>
        </is>
      </c>
      <c r="C58" s="15" t="inlineStr">
        <is>
          <t>ZPCZGG97H25Z119O</t>
        </is>
      </c>
      <c r="D58" s="15" t="inlineStr">
        <is>
          <t>4</t>
        </is>
      </c>
      <c r="E58" s="16" t="n">
        <v>44138</v>
      </c>
      <c r="F58" s="17" t="n">
        <v>1</v>
      </c>
      <c r="G58" s="15" t="inlineStr"/>
      <c r="H58" s="15" t="b">
        <v>1</v>
      </c>
      <c r="I58" s="17" t="n">
        <v>1781.68</v>
      </c>
      <c r="J58" s="15" t="n">
        <v>1</v>
      </c>
      <c r="K58" s="17" t="n">
        <v>20.66</v>
      </c>
      <c r="L58" s="17" t="n">
        <v>300</v>
      </c>
      <c r="M58" s="17" t="n">
        <v>0</v>
      </c>
      <c r="N58" s="17" t="n">
        <v>2102.34</v>
      </c>
      <c r="O58" s="17" t="n">
        <v>193.21</v>
      </c>
      <c r="P58" s="17" t="n">
        <v>1909.13</v>
      </c>
      <c r="Q58" s="17" t="n">
        <v>302.55</v>
      </c>
      <c r="R58" s="17" t="n">
        <v>28.64</v>
      </c>
      <c r="S58" s="17" t="n">
        <v>1577.94</v>
      </c>
      <c r="T58" s="17" t="n">
        <v>181.68</v>
      </c>
      <c r="U58" s="18" t="n">
        <v>2.1667</v>
      </c>
      <c r="V58" s="18" t="n">
        <v>0</v>
      </c>
      <c r="W58" s="18" t="n">
        <v>13.7102</v>
      </c>
      <c r="X58" s="19">
        <f>ROUND(INDEX(CCNL!$F$5:$F$12,MATCH(D58,CCNL!$A$5:$A$12,0))*F58,2)</f>
        <v/>
      </c>
      <c r="Y58" s="4">
        <f>(YEAR(Parametri!$C$5)*12+MONTH(Parametri!$C$5))-(YEAR(E58)*12+MONTH(E58))</f>
        <v/>
      </c>
      <c r="Z58" s="4">
        <f>MIN(Parametri!$C$13,MAX(0,INT((Y58-1)/36)))</f>
        <v/>
      </c>
      <c r="AA58" s="19">
        <f>ROUND(INDEX(CCNL!$I$5:$I$12,MATCH(D58,CCNL!$A$5:$A$12,0))*Z58*F58,2)</f>
        <v/>
      </c>
      <c r="AB58" s="19">
        <f>ROUND(N58*Parametri!$C$6,2)</f>
        <v/>
      </c>
      <c r="AC58" s="19">
        <f>ROUND((I58+K58+L58)*Parametri!$C$8/Parametri!$C$7/12,2)</f>
        <v/>
      </c>
      <c r="AD58" s="20">
        <f>IFERROR(INDEX(Agosto!$D$5:$D$173,MATCH(A58,Agosto!$A$5:$A$173,0)),0)</f>
        <v/>
      </c>
      <c r="AE58" s="21">
        <f>ROUND(AD58+ROUND(Parametri!$C$9/12,4)-V58,4)</f>
        <v/>
      </c>
      <c r="AF58" s="19">
        <f>ROUND(I58+K58+L58+M58,2)</f>
        <v/>
      </c>
      <c r="AG58" s="19">
        <f>ROUND(N58-O58-Q58-R58,2)</f>
        <v/>
      </c>
      <c r="AH58" s="22">
        <f>IFERROR(INDEX(Agosto!$C$5:$C$173,MATCH(A58,Agosto!$A$5:$A$173,0)),"")</f>
        <v/>
      </c>
      <c r="AI58" s="23">
        <f>IF(AH58="","",S58/AH58-1)</f>
        <v/>
      </c>
      <c r="AJ58" s="4">
        <f>CHAR(65+MOD(SUMPRODUCT(SUMIF('Codice fiscale'!$A$5:$A$40,MID(C58,{1,3,5,7,9,11,13,15},1),'Codice fiscale'!$B$5:$B$40))+SUMPRODUCT(SUMIF('Codice fiscale'!$A$5:$A$40,MID(C58,{2,4,6,8,10,12,14},1),'Codice fiscale'!$C$5:$C$40)),26))</f>
        <v/>
      </c>
      <c r="AK58" s="4">
        <f>IF(ABS(I58-X58)&gt;Parametri!$C$11,"ERRORE","OK")</f>
        <v/>
      </c>
      <c r="AL58" s="4">
        <f>IF(ABS(K58-AA58)&gt;Parametri!$C$11,"ERRORE","OK")</f>
        <v/>
      </c>
      <c r="AM58" s="4">
        <f>IF(ABS(O58-AB58)&gt;Parametri!$C$11,"ERRORE","OK")</f>
        <v/>
      </c>
      <c r="AN58" s="4">
        <f>IF(ABS(T58-AC58)&gt;Parametri!$C$11,"ERRORE","OK")</f>
        <v/>
      </c>
      <c r="AO58" s="4">
        <f>IF(ABS(W58-AE58)&gt;Parametri!$C$12,"ERRORE","OK")</f>
        <v/>
      </c>
      <c r="AP58" s="4">
        <f>IF(OR(ABS(N58-AF58)&gt;Parametri!$C$11,ABS(S58-AG58)&gt;Parametri!$C$11),"ERRORE","OK")</f>
        <v/>
      </c>
      <c r="AQ58" s="4">
        <f>IF(AI58="","OK",IF(AND(ABS(AI58)&gt;Parametri!$C$10,G58=""),"ERRORE","OK"))</f>
        <v/>
      </c>
      <c r="AR58" s="4">
        <f>IF(AND(LEN(C58)=16,RIGHT(C58,1)=AJ58),"OK","ERRORE")</f>
        <v/>
      </c>
      <c r="AS58" s="12">
        <f>COUNTIF(AK58:AR58,"ERRORE")</f>
        <v/>
      </c>
    </row>
    <row r="59">
      <c r="A59" s="15" t="inlineStr">
        <is>
          <t>B055</t>
        </is>
      </c>
      <c r="B59" s="15" t="inlineStr">
        <is>
          <t>B</t>
        </is>
      </c>
      <c r="C59" s="15" t="inlineStr">
        <is>
          <t>RNPBDL95M59Z168H</t>
        </is>
      </c>
      <c r="D59" s="15" t="inlineStr">
        <is>
          <t>5</t>
        </is>
      </c>
      <c r="E59" s="16" t="n">
        <v>42211</v>
      </c>
      <c r="F59" s="17" t="n">
        <v>1</v>
      </c>
      <c r="G59" s="15" t="inlineStr"/>
      <c r="H59" s="15" t="b">
        <v>1</v>
      </c>
      <c r="I59" s="17" t="n">
        <v>1658.01</v>
      </c>
      <c r="J59" s="15" t="n">
        <v>3</v>
      </c>
      <c r="K59" s="17" t="n">
        <v>60.9</v>
      </c>
      <c r="L59" s="17" t="n">
        <v>200</v>
      </c>
      <c r="M59" s="17" t="n">
        <v>0</v>
      </c>
      <c r="N59" s="17" t="n">
        <v>1918.91</v>
      </c>
      <c r="O59" s="17" t="n">
        <v>176.35</v>
      </c>
      <c r="P59" s="17" t="n">
        <v>1742.56</v>
      </c>
      <c r="Q59" s="17" t="n">
        <v>257.57</v>
      </c>
      <c r="R59" s="17" t="n">
        <v>26.14</v>
      </c>
      <c r="S59" s="17" t="n">
        <v>1458.85</v>
      </c>
      <c r="T59" s="17" t="n">
        <v>165.83</v>
      </c>
      <c r="U59" s="18" t="n">
        <v>2.1667</v>
      </c>
      <c r="V59" s="18" t="n">
        <v>1</v>
      </c>
      <c r="W59" s="18" t="n">
        <v>11.2349</v>
      </c>
      <c r="X59" s="19">
        <f>ROUND(INDEX(CCNL!$F$5:$F$12,MATCH(D59,CCNL!$A$5:$A$12,0))*F59,2)</f>
        <v/>
      </c>
      <c r="Y59" s="4">
        <f>(YEAR(Parametri!$C$5)*12+MONTH(Parametri!$C$5))-(YEAR(E59)*12+MONTH(E59))</f>
        <v/>
      </c>
      <c r="Z59" s="4">
        <f>MIN(Parametri!$C$13,MAX(0,INT((Y59-1)/36)))</f>
        <v/>
      </c>
      <c r="AA59" s="19">
        <f>ROUND(INDEX(CCNL!$I$5:$I$12,MATCH(D59,CCNL!$A$5:$A$12,0))*Z59*F59,2)</f>
        <v/>
      </c>
      <c r="AB59" s="19">
        <f>ROUND(N59*Parametri!$C$6,2)</f>
        <v/>
      </c>
      <c r="AC59" s="19">
        <f>ROUND((I59+K59+L59)*Parametri!$C$8/Parametri!$C$7/12,2)</f>
        <v/>
      </c>
      <c r="AD59" s="20">
        <f>IFERROR(INDEX(Agosto!$D$5:$D$173,MATCH(A59,Agosto!$A$5:$A$173,0)),0)</f>
        <v/>
      </c>
      <c r="AE59" s="21">
        <f>ROUND(AD59+ROUND(Parametri!$C$9/12,4)-V59,4)</f>
        <v/>
      </c>
      <c r="AF59" s="19">
        <f>ROUND(I59+K59+L59+M59,2)</f>
        <v/>
      </c>
      <c r="AG59" s="19">
        <f>ROUND(N59-O59-Q59-R59,2)</f>
        <v/>
      </c>
      <c r="AH59" s="22">
        <f>IFERROR(INDEX(Agosto!$C$5:$C$173,MATCH(A59,Agosto!$A$5:$A$173,0)),"")</f>
        <v/>
      </c>
      <c r="AI59" s="23">
        <f>IF(AH59="","",S59/AH59-1)</f>
        <v/>
      </c>
      <c r="AJ59" s="4">
        <f>CHAR(65+MOD(SUMPRODUCT(SUMIF('Codice fiscale'!$A$5:$A$40,MID(C59,{1,3,5,7,9,11,13,15},1),'Codice fiscale'!$B$5:$B$40))+SUMPRODUCT(SUMIF('Codice fiscale'!$A$5:$A$40,MID(C59,{2,4,6,8,10,12,14},1),'Codice fiscale'!$C$5:$C$40)),26))</f>
        <v/>
      </c>
      <c r="AK59" s="4">
        <f>IF(ABS(I59-X59)&gt;Parametri!$C$11,"ERRORE","OK")</f>
        <v/>
      </c>
      <c r="AL59" s="4">
        <f>IF(ABS(K59-AA59)&gt;Parametri!$C$11,"ERRORE","OK")</f>
        <v/>
      </c>
      <c r="AM59" s="4">
        <f>IF(ABS(O59-AB59)&gt;Parametri!$C$11,"ERRORE","OK")</f>
        <v/>
      </c>
      <c r="AN59" s="4">
        <f>IF(ABS(T59-AC59)&gt;Parametri!$C$11,"ERRORE","OK")</f>
        <v/>
      </c>
      <c r="AO59" s="4">
        <f>IF(ABS(W59-AE59)&gt;Parametri!$C$12,"ERRORE","OK")</f>
        <v/>
      </c>
      <c r="AP59" s="4">
        <f>IF(OR(ABS(N59-AF59)&gt;Parametri!$C$11,ABS(S59-AG59)&gt;Parametri!$C$11),"ERRORE","OK")</f>
        <v/>
      </c>
      <c r="AQ59" s="4">
        <f>IF(AI59="","OK",IF(AND(ABS(AI59)&gt;Parametri!$C$10,G59=""),"ERRORE","OK"))</f>
        <v/>
      </c>
      <c r="AR59" s="4">
        <f>IF(AND(LEN(C59)=16,RIGHT(C59,1)=AJ59),"OK","ERRORE")</f>
        <v/>
      </c>
      <c r="AS59" s="12">
        <f>COUNTIF(AK59:AR59,"ERRORE")</f>
        <v/>
      </c>
    </row>
    <row r="60">
      <c r="A60" s="15" t="inlineStr">
        <is>
          <t>B056</t>
        </is>
      </c>
      <c r="B60" s="15" t="inlineStr">
        <is>
          <t>B</t>
        </is>
      </c>
      <c r="C60" s="15" t="inlineStr">
        <is>
          <t>CTZLTD72P68Z257S</t>
        </is>
      </c>
      <c r="D60" s="15" t="inlineStr">
        <is>
          <t>5</t>
        </is>
      </c>
      <c r="E60" s="16" t="n">
        <v>45159</v>
      </c>
      <c r="F60" s="17" t="n">
        <v>1</v>
      </c>
      <c r="G60" s="15" t="inlineStr"/>
      <c r="H60" s="15" t="b">
        <v>0</v>
      </c>
      <c r="I60" s="17" t="n">
        <v>1658.01</v>
      </c>
      <c r="J60" s="15" t="n">
        <v>1</v>
      </c>
      <c r="K60" s="17" t="n">
        <v>20.3</v>
      </c>
      <c r="L60" s="17" t="n">
        <v>300</v>
      </c>
      <c r="M60" s="17" t="n">
        <v>0</v>
      </c>
      <c r="N60" s="17" t="n">
        <v>1978.31</v>
      </c>
      <c r="O60" s="17" t="n">
        <v>181.81</v>
      </c>
      <c r="P60" s="17" t="n">
        <v>1796.5</v>
      </c>
      <c r="Q60" s="17" t="n">
        <v>272.14</v>
      </c>
      <c r="R60" s="17" t="n">
        <v>26.95</v>
      </c>
      <c r="S60" s="17" t="n">
        <v>1497.41</v>
      </c>
      <c r="T60" s="17" t="n">
        <v>170.97</v>
      </c>
      <c r="U60" s="18" t="n">
        <v>2.1667</v>
      </c>
      <c r="V60" s="18" t="n">
        <v>0</v>
      </c>
      <c r="W60" s="18" t="n">
        <v>17.9253</v>
      </c>
      <c r="X60" s="19">
        <f>ROUND(INDEX(CCNL!$F$5:$F$12,MATCH(D60,CCNL!$A$5:$A$12,0))*F60,2)</f>
        <v/>
      </c>
      <c r="Y60" s="4">
        <f>(YEAR(Parametri!$C$5)*12+MONTH(Parametri!$C$5))-(YEAR(E60)*12+MONTH(E60))</f>
        <v/>
      </c>
      <c r="Z60" s="4">
        <f>MIN(Parametri!$C$13,MAX(0,INT((Y60-1)/36)))</f>
        <v/>
      </c>
      <c r="AA60" s="19">
        <f>ROUND(INDEX(CCNL!$I$5:$I$12,MATCH(D60,CCNL!$A$5:$A$12,0))*Z60*F60,2)</f>
        <v/>
      </c>
      <c r="AB60" s="19">
        <f>ROUND(N60*Parametri!$C$6,2)</f>
        <v/>
      </c>
      <c r="AC60" s="19">
        <f>ROUND((I60+K60+L60)*Parametri!$C$8/Parametri!$C$7/12,2)</f>
        <v/>
      </c>
      <c r="AD60" s="20">
        <f>IFERROR(INDEX(Agosto!$D$5:$D$173,MATCH(A60,Agosto!$A$5:$A$173,0)),0)</f>
        <v/>
      </c>
      <c r="AE60" s="21">
        <f>ROUND(AD60+ROUND(Parametri!$C$9/12,4)-V60,4)</f>
        <v/>
      </c>
      <c r="AF60" s="19">
        <f>ROUND(I60+K60+L60+M60,2)</f>
        <v/>
      </c>
      <c r="AG60" s="19">
        <f>ROUND(N60-O60-Q60-R60,2)</f>
        <v/>
      </c>
      <c r="AH60" s="22">
        <f>IFERROR(INDEX(Agosto!$C$5:$C$173,MATCH(A60,Agosto!$A$5:$A$173,0)),"")</f>
        <v/>
      </c>
      <c r="AI60" s="23">
        <f>IF(AH60="","",S60/AH60-1)</f>
        <v/>
      </c>
      <c r="AJ60" s="4">
        <f>CHAR(65+MOD(SUMPRODUCT(SUMIF('Codice fiscale'!$A$5:$A$40,MID(C60,{1,3,5,7,9,11,13,15},1),'Codice fiscale'!$B$5:$B$40))+SUMPRODUCT(SUMIF('Codice fiscale'!$A$5:$A$40,MID(C60,{2,4,6,8,10,12,14},1),'Codice fiscale'!$C$5:$C$40)),26))</f>
        <v/>
      </c>
      <c r="AK60" s="4">
        <f>IF(ABS(I60-X60)&gt;Parametri!$C$11,"ERRORE","OK")</f>
        <v/>
      </c>
      <c r="AL60" s="4">
        <f>IF(ABS(K60-AA60)&gt;Parametri!$C$11,"ERRORE","OK")</f>
        <v/>
      </c>
      <c r="AM60" s="4">
        <f>IF(ABS(O60-AB60)&gt;Parametri!$C$11,"ERRORE","OK")</f>
        <v/>
      </c>
      <c r="AN60" s="4">
        <f>IF(ABS(T60-AC60)&gt;Parametri!$C$11,"ERRORE","OK")</f>
        <v/>
      </c>
      <c r="AO60" s="4">
        <f>IF(ABS(W60-AE60)&gt;Parametri!$C$12,"ERRORE","OK")</f>
        <v/>
      </c>
      <c r="AP60" s="4">
        <f>IF(OR(ABS(N60-AF60)&gt;Parametri!$C$11,ABS(S60-AG60)&gt;Parametri!$C$11),"ERRORE","OK")</f>
        <v/>
      </c>
      <c r="AQ60" s="4">
        <f>IF(AI60="","OK",IF(AND(ABS(AI60)&gt;Parametri!$C$10,G60=""),"ERRORE","OK"))</f>
        <v/>
      </c>
      <c r="AR60" s="4">
        <f>IF(AND(LEN(C60)=16,RIGHT(C60,1)=AJ60),"OK","ERRORE")</f>
        <v/>
      </c>
      <c r="AS60" s="12">
        <f>COUNTIF(AK60:AR60,"ERRORE")</f>
        <v/>
      </c>
    </row>
    <row r="61">
      <c r="A61" s="15" t="inlineStr">
        <is>
          <t>B057</t>
        </is>
      </c>
      <c r="B61" s="15" t="inlineStr">
        <is>
          <t>B</t>
        </is>
      </c>
      <c r="C61" s="15" t="inlineStr">
        <is>
          <t>NFRDNF91T48Z158N</t>
        </is>
      </c>
      <c r="D61" s="15" t="inlineStr">
        <is>
          <t>6</t>
        </is>
      </c>
      <c r="E61" s="16" t="n">
        <v>44668</v>
      </c>
      <c r="F61" s="17" t="n">
        <v>1</v>
      </c>
      <c r="G61" s="15" t="inlineStr"/>
      <c r="H61" s="15" t="b">
        <v>1</v>
      </c>
      <c r="I61" s="17" t="n">
        <v>1539.7</v>
      </c>
      <c r="J61" s="15" t="n">
        <v>1</v>
      </c>
      <c r="K61" s="17" t="n">
        <v>19.73</v>
      </c>
      <c r="L61" s="17" t="n">
        <v>0</v>
      </c>
      <c r="M61" s="17" t="n">
        <v>0</v>
      </c>
      <c r="N61" s="17" t="n">
        <v>1559.43</v>
      </c>
      <c r="O61" s="17" t="n">
        <v>143.31</v>
      </c>
      <c r="P61" s="17" t="n">
        <v>1416.12</v>
      </c>
      <c r="Q61" s="17" t="n">
        <v>169.44</v>
      </c>
      <c r="R61" s="17" t="n">
        <v>21.24</v>
      </c>
      <c r="S61" s="17" t="n">
        <v>1225.44</v>
      </c>
      <c r="T61" s="17" t="n">
        <v>134.77</v>
      </c>
      <c r="U61" s="18" t="n">
        <v>2.1667</v>
      </c>
      <c r="V61" s="18" t="n">
        <v>2</v>
      </c>
      <c r="W61" s="18" t="n">
        <v>13.3447</v>
      </c>
      <c r="X61" s="19">
        <f>ROUND(INDEX(CCNL!$F$5:$F$12,MATCH(D61,CCNL!$A$5:$A$12,0))*F61,2)</f>
        <v/>
      </c>
      <c r="Y61" s="4">
        <f>(YEAR(Parametri!$C$5)*12+MONTH(Parametri!$C$5))-(YEAR(E61)*12+MONTH(E61))</f>
        <v/>
      </c>
      <c r="Z61" s="4">
        <f>MIN(Parametri!$C$13,MAX(0,INT((Y61-1)/36)))</f>
        <v/>
      </c>
      <c r="AA61" s="19">
        <f>ROUND(INDEX(CCNL!$I$5:$I$12,MATCH(D61,CCNL!$A$5:$A$12,0))*Z61*F61,2)</f>
        <v/>
      </c>
      <c r="AB61" s="19">
        <f>ROUND(N61*Parametri!$C$6,2)</f>
        <v/>
      </c>
      <c r="AC61" s="19">
        <f>ROUND((I61+K61+L61)*Parametri!$C$8/Parametri!$C$7/12,2)</f>
        <v/>
      </c>
      <c r="AD61" s="20">
        <f>IFERROR(INDEX(Agosto!$D$5:$D$173,MATCH(A61,Agosto!$A$5:$A$173,0)),0)</f>
        <v/>
      </c>
      <c r="AE61" s="21">
        <f>ROUND(AD61+ROUND(Parametri!$C$9/12,4)-V61,4)</f>
        <v/>
      </c>
      <c r="AF61" s="19">
        <f>ROUND(I61+K61+L61+M61,2)</f>
        <v/>
      </c>
      <c r="AG61" s="19">
        <f>ROUND(N61-O61-Q61-R61,2)</f>
        <v/>
      </c>
      <c r="AH61" s="22">
        <f>IFERROR(INDEX(Agosto!$C$5:$C$173,MATCH(A61,Agosto!$A$5:$A$173,0)),"")</f>
        <v/>
      </c>
      <c r="AI61" s="23">
        <f>IF(AH61="","",S61/AH61-1)</f>
        <v/>
      </c>
      <c r="AJ61" s="4">
        <f>CHAR(65+MOD(SUMPRODUCT(SUMIF('Codice fiscale'!$A$5:$A$40,MID(C61,{1,3,5,7,9,11,13,15},1),'Codice fiscale'!$B$5:$B$40))+SUMPRODUCT(SUMIF('Codice fiscale'!$A$5:$A$40,MID(C61,{2,4,6,8,10,12,14},1),'Codice fiscale'!$C$5:$C$40)),26))</f>
        <v/>
      </c>
      <c r="AK61" s="4">
        <f>IF(ABS(I61-X61)&gt;Parametri!$C$11,"ERRORE","OK")</f>
        <v/>
      </c>
      <c r="AL61" s="4">
        <f>IF(ABS(K61-AA61)&gt;Parametri!$C$11,"ERRORE","OK")</f>
        <v/>
      </c>
      <c r="AM61" s="4">
        <f>IF(ABS(O61-AB61)&gt;Parametri!$C$11,"ERRORE","OK")</f>
        <v/>
      </c>
      <c r="AN61" s="4">
        <f>IF(ABS(T61-AC61)&gt;Parametri!$C$11,"ERRORE","OK")</f>
        <v/>
      </c>
      <c r="AO61" s="4">
        <f>IF(ABS(W61-AE61)&gt;Parametri!$C$12,"ERRORE","OK")</f>
        <v/>
      </c>
      <c r="AP61" s="4">
        <f>IF(OR(ABS(N61-AF61)&gt;Parametri!$C$11,ABS(S61-AG61)&gt;Parametri!$C$11),"ERRORE","OK")</f>
        <v/>
      </c>
      <c r="AQ61" s="4">
        <f>IF(AI61="","OK",IF(AND(ABS(AI61)&gt;Parametri!$C$10,G61=""),"ERRORE","OK"))</f>
        <v/>
      </c>
      <c r="AR61" s="4">
        <f>IF(AND(LEN(C61)=16,RIGHT(C61,1)=AJ61),"OK","ERRORE")</f>
        <v/>
      </c>
      <c r="AS61" s="12">
        <f>COUNTIF(AK61:AR61,"ERRORE")</f>
        <v/>
      </c>
    </row>
    <row r="62">
      <c r="A62" s="15" t="inlineStr">
        <is>
          <t>B058</t>
        </is>
      </c>
      <c r="B62" s="15" t="inlineStr">
        <is>
          <t>B</t>
        </is>
      </c>
      <c r="C62" s="15" t="inlineStr">
        <is>
          <t>GFZPLG92P01Z321A</t>
        </is>
      </c>
      <c r="D62" s="15" t="inlineStr">
        <is>
          <t>5</t>
        </is>
      </c>
      <c r="E62" s="16" t="n">
        <v>46125</v>
      </c>
      <c r="F62" s="17" t="n">
        <v>1</v>
      </c>
      <c r="G62" s="15" t="inlineStr"/>
      <c r="H62" s="15" t="b">
        <v>0</v>
      </c>
      <c r="I62" s="17" t="n">
        <v>1658.01</v>
      </c>
      <c r="J62" s="15" t="n">
        <v>0</v>
      </c>
      <c r="K62" s="17" t="n">
        <v>0</v>
      </c>
      <c r="L62" s="17" t="n">
        <v>0</v>
      </c>
      <c r="M62" s="17" t="n">
        <v>0</v>
      </c>
      <c r="N62" s="17" t="n">
        <v>1658.01</v>
      </c>
      <c r="O62" s="17" t="n">
        <v>152.37</v>
      </c>
      <c r="P62" s="17" t="n">
        <v>1505.64</v>
      </c>
      <c r="Q62" s="17" t="n">
        <v>193.61</v>
      </c>
      <c r="R62" s="17" t="n">
        <v>22.58</v>
      </c>
      <c r="S62" s="17" t="n">
        <v>1289.45</v>
      </c>
      <c r="T62" s="17" t="n">
        <v>143.28</v>
      </c>
      <c r="U62" s="18" t="n">
        <v>2.1667</v>
      </c>
      <c r="V62" s="18" t="n">
        <v>0</v>
      </c>
      <c r="W62" s="18" t="n">
        <v>20.478</v>
      </c>
      <c r="X62" s="19">
        <f>ROUND(INDEX(CCNL!$F$5:$F$12,MATCH(D62,CCNL!$A$5:$A$12,0))*F62,2)</f>
        <v/>
      </c>
      <c r="Y62" s="4">
        <f>(YEAR(Parametri!$C$5)*12+MONTH(Parametri!$C$5))-(YEAR(E62)*12+MONTH(E62))</f>
        <v/>
      </c>
      <c r="Z62" s="4">
        <f>MIN(Parametri!$C$13,MAX(0,INT((Y62-1)/36)))</f>
        <v/>
      </c>
      <c r="AA62" s="19">
        <f>ROUND(INDEX(CCNL!$I$5:$I$12,MATCH(D62,CCNL!$A$5:$A$12,0))*Z62*F62,2)</f>
        <v/>
      </c>
      <c r="AB62" s="19">
        <f>ROUND(N62*Parametri!$C$6,2)</f>
        <v/>
      </c>
      <c r="AC62" s="19">
        <f>ROUND((I62+K62+L62)*Parametri!$C$8/Parametri!$C$7/12,2)</f>
        <v/>
      </c>
      <c r="AD62" s="20">
        <f>IFERROR(INDEX(Agosto!$D$5:$D$173,MATCH(A62,Agosto!$A$5:$A$173,0)),0)</f>
        <v/>
      </c>
      <c r="AE62" s="21">
        <f>ROUND(AD62+ROUND(Parametri!$C$9/12,4)-V62,4)</f>
        <v/>
      </c>
      <c r="AF62" s="19">
        <f>ROUND(I62+K62+L62+M62,2)</f>
        <v/>
      </c>
      <c r="AG62" s="19">
        <f>ROUND(N62-O62-Q62-R62,2)</f>
        <v/>
      </c>
      <c r="AH62" s="22">
        <f>IFERROR(INDEX(Agosto!$C$5:$C$173,MATCH(A62,Agosto!$A$5:$A$173,0)),"")</f>
        <v/>
      </c>
      <c r="AI62" s="23">
        <f>IF(AH62="","",S62/AH62-1)</f>
        <v/>
      </c>
      <c r="AJ62" s="4">
        <f>CHAR(65+MOD(SUMPRODUCT(SUMIF('Codice fiscale'!$A$5:$A$40,MID(C62,{1,3,5,7,9,11,13,15},1),'Codice fiscale'!$B$5:$B$40))+SUMPRODUCT(SUMIF('Codice fiscale'!$A$5:$A$40,MID(C62,{2,4,6,8,10,12,14},1),'Codice fiscale'!$C$5:$C$40)),26))</f>
        <v/>
      </c>
      <c r="AK62" s="4">
        <f>IF(ABS(I62-X62)&gt;Parametri!$C$11,"ERRORE","OK")</f>
        <v/>
      </c>
      <c r="AL62" s="4">
        <f>IF(ABS(K62-AA62)&gt;Parametri!$C$11,"ERRORE","OK")</f>
        <v/>
      </c>
      <c r="AM62" s="4">
        <f>IF(ABS(O62-AB62)&gt;Parametri!$C$11,"ERRORE","OK")</f>
        <v/>
      </c>
      <c r="AN62" s="4">
        <f>IF(ABS(T62-AC62)&gt;Parametri!$C$11,"ERRORE","OK")</f>
        <v/>
      </c>
      <c r="AO62" s="4">
        <f>IF(ABS(W62-AE62)&gt;Parametri!$C$12,"ERRORE","OK")</f>
        <v/>
      </c>
      <c r="AP62" s="4">
        <f>IF(OR(ABS(N62-AF62)&gt;Parametri!$C$11,ABS(S62-AG62)&gt;Parametri!$C$11),"ERRORE","OK")</f>
        <v/>
      </c>
      <c r="AQ62" s="4">
        <f>IF(AI62="","OK",IF(AND(ABS(AI62)&gt;Parametri!$C$10,G62=""),"ERRORE","OK"))</f>
        <v/>
      </c>
      <c r="AR62" s="4">
        <f>IF(AND(LEN(C62)=16,RIGHT(C62,1)=AJ62),"OK","ERRORE")</f>
        <v/>
      </c>
      <c r="AS62" s="12">
        <f>COUNTIF(AK62:AR62,"ERRORE")</f>
        <v/>
      </c>
    </row>
    <row r="63">
      <c r="A63" s="15" t="inlineStr">
        <is>
          <t>B059</t>
        </is>
      </c>
      <c r="B63" s="15" t="inlineStr">
        <is>
          <t>B</t>
        </is>
      </c>
      <c r="C63" s="15" t="inlineStr">
        <is>
          <t>RCPDNM84R28Z156P</t>
        </is>
      </c>
      <c r="D63" s="15" t="inlineStr">
        <is>
          <t>3</t>
        </is>
      </c>
      <c r="E63" s="16" t="n">
        <v>43541</v>
      </c>
      <c r="F63" s="17" t="n">
        <v>1</v>
      </c>
      <c r="G63" s="15" t="inlineStr"/>
      <c r="H63" s="15" t="b">
        <v>0</v>
      </c>
      <c r="I63" s="17" t="n">
        <v>1981.84</v>
      </c>
      <c r="J63" s="15" t="n">
        <v>2</v>
      </c>
      <c r="K63" s="17" t="n">
        <v>43.9</v>
      </c>
      <c r="L63" s="17" t="n">
        <v>50</v>
      </c>
      <c r="M63" s="17" t="n">
        <v>0</v>
      </c>
      <c r="N63" s="17" t="n">
        <v>2075.74</v>
      </c>
      <c r="O63" s="17" t="n">
        <v>190.76</v>
      </c>
      <c r="P63" s="17" t="n">
        <v>1884.98</v>
      </c>
      <c r="Q63" s="17" t="n">
        <v>296.03</v>
      </c>
      <c r="R63" s="17" t="n">
        <v>28.27</v>
      </c>
      <c r="S63" s="17" t="n">
        <v>1560.68</v>
      </c>
      <c r="T63" s="17" t="n">
        <v>171.27</v>
      </c>
      <c r="U63" s="18" t="n">
        <v>2.1667</v>
      </c>
      <c r="V63" s="18" t="n">
        <v>0</v>
      </c>
      <c r="W63" s="18" t="n">
        <v>4.8635</v>
      </c>
      <c r="X63" s="19">
        <f>ROUND(INDEX(CCNL!$F$5:$F$12,MATCH(D63,CCNL!$A$5:$A$12,0))*F63,2)</f>
        <v/>
      </c>
      <c r="Y63" s="4">
        <f>(YEAR(Parametri!$C$5)*12+MONTH(Parametri!$C$5))-(YEAR(E63)*12+MONTH(E63))</f>
        <v/>
      </c>
      <c r="Z63" s="4">
        <f>MIN(Parametri!$C$13,MAX(0,INT((Y63-1)/36)))</f>
        <v/>
      </c>
      <c r="AA63" s="19">
        <f>ROUND(INDEX(CCNL!$I$5:$I$12,MATCH(D63,CCNL!$A$5:$A$12,0))*Z63*F63,2)</f>
        <v/>
      </c>
      <c r="AB63" s="19">
        <f>ROUND(N63*Parametri!$C$6,2)</f>
        <v/>
      </c>
      <c r="AC63" s="19">
        <f>ROUND((I63+K63+L63)*Parametri!$C$8/Parametri!$C$7/12,2)</f>
        <v/>
      </c>
      <c r="AD63" s="20">
        <f>IFERROR(INDEX(Agosto!$D$5:$D$173,MATCH(A63,Agosto!$A$5:$A$173,0)),0)</f>
        <v/>
      </c>
      <c r="AE63" s="21">
        <f>ROUND(AD63+ROUND(Parametri!$C$9/12,4)-V63,4)</f>
        <v/>
      </c>
      <c r="AF63" s="19">
        <f>ROUND(I63+K63+L63+M63,2)</f>
        <v/>
      </c>
      <c r="AG63" s="19">
        <f>ROUND(N63-O63-Q63-R63,2)</f>
        <v/>
      </c>
      <c r="AH63" s="22">
        <f>IFERROR(INDEX(Agosto!$C$5:$C$173,MATCH(A63,Agosto!$A$5:$A$173,0)),"")</f>
        <v/>
      </c>
      <c r="AI63" s="23">
        <f>IF(AH63="","",S63/AH63-1)</f>
        <v/>
      </c>
      <c r="AJ63" s="4">
        <f>CHAR(65+MOD(SUMPRODUCT(SUMIF('Codice fiscale'!$A$5:$A$40,MID(C63,{1,3,5,7,9,11,13,15},1),'Codice fiscale'!$B$5:$B$40))+SUMPRODUCT(SUMIF('Codice fiscale'!$A$5:$A$40,MID(C63,{2,4,6,8,10,12,14},1),'Codice fiscale'!$C$5:$C$40)),26))</f>
        <v/>
      </c>
      <c r="AK63" s="4">
        <f>IF(ABS(I63-X63)&gt;Parametri!$C$11,"ERRORE","OK")</f>
        <v/>
      </c>
      <c r="AL63" s="4">
        <f>IF(ABS(K63-AA63)&gt;Parametri!$C$11,"ERRORE","OK")</f>
        <v/>
      </c>
      <c r="AM63" s="4">
        <f>IF(ABS(O63-AB63)&gt;Parametri!$C$11,"ERRORE","OK")</f>
        <v/>
      </c>
      <c r="AN63" s="4">
        <f>IF(ABS(T63-AC63)&gt;Parametri!$C$11,"ERRORE","OK")</f>
        <v/>
      </c>
      <c r="AO63" s="4">
        <f>IF(ABS(W63-AE63)&gt;Parametri!$C$12,"ERRORE","OK")</f>
        <v/>
      </c>
      <c r="AP63" s="4">
        <f>IF(OR(ABS(N63-AF63)&gt;Parametri!$C$11,ABS(S63-AG63)&gt;Parametri!$C$11),"ERRORE","OK")</f>
        <v/>
      </c>
      <c r="AQ63" s="4">
        <f>IF(AI63="","OK",IF(AND(ABS(AI63)&gt;Parametri!$C$10,G63=""),"ERRORE","OK"))</f>
        <v/>
      </c>
      <c r="AR63" s="4">
        <f>IF(AND(LEN(C63)=16,RIGHT(C63,1)=AJ63),"OK","ERRORE")</f>
        <v/>
      </c>
      <c r="AS63" s="12">
        <f>COUNTIF(AK63:AR63,"ERRORE")</f>
        <v/>
      </c>
    </row>
    <row r="64">
      <c r="A64" s="15" t="inlineStr">
        <is>
          <t>B060</t>
        </is>
      </c>
      <c r="B64" s="15" t="inlineStr">
        <is>
          <t>B</t>
        </is>
      </c>
      <c r="C64" s="15" t="inlineStr">
        <is>
          <t>GLCGDB88L01Z211D</t>
        </is>
      </c>
      <c r="D64" s="15" t="inlineStr">
        <is>
          <t>3</t>
        </is>
      </c>
      <c r="E64" s="16" t="n">
        <v>41731</v>
      </c>
      <c r="F64" s="17" t="n">
        <v>0.75</v>
      </c>
      <c r="G64" s="15" t="inlineStr"/>
      <c r="H64" s="15" t="b">
        <v>0</v>
      </c>
      <c r="I64" s="17" t="n">
        <v>1486.38</v>
      </c>
      <c r="J64" s="15" t="n">
        <v>4</v>
      </c>
      <c r="K64" s="17" t="n">
        <v>65.84999999999999</v>
      </c>
      <c r="L64" s="17" t="n">
        <v>225</v>
      </c>
      <c r="M64" s="17" t="n">
        <v>0</v>
      </c>
      <c r="N64" s="17" t="n">
        <v>1777.23</v>
      </c>
      <c r="O64" s="17" t="n">
        <v>163.33</v>
      </c>
      <c r="P64" s="17" t="n">
        <v>1613.9</v>
      </c>
      <c r="Q64" s="17" t="n">
        <v>222.84</v>
      </c>
      <c r="R64" s="17" t="n">
        <v>24.21</v>
      </c>
      <c r="S64" s="17" t="n">
        <v>1366.85</v>
      </c>
      <c r="T64" s="17" t="n">
        <v>153.59</v>
      </c>
      <c r="U64" s="18" t="n">
        <v>2.1667</v>
      </c>
      <c r="V64" s="18" t="n">
        <v>1</v>
      </c>
      <c r="W64" s="18" t="n">
        <v>18.3417</v>
      </c>
      <c r="X64" s="19">
        <f>ROUND(INDEX(CCNL!$F$5:$F$12,MATCH(D64,CCNL!$A$5:$A$12,0))*F64,2)</f>
        <v/>
      </c>
      <c r="Y64" s="4">
        <f>(YEAR(Parametri!$C$5)*12+MONTH(Parametri!$C$5))-(YEAR(E64)*12+MONTH(E64))</f>
        <v/>
      </c>
      <c r="Z64" s="4">
        <f>MIN(Parametri!$C$13,MAX(0,INT((Y64-1)/36)))</f>
        <v/>
      </c>
      <c r="AA64" s="19">
        <f>ROUND(INDEX(CCNL!$I$5:$I$12,MATCH(D64,CCNL!$A$5:$A$12,0))*Z64*F64,2)</f>
        <v/>
      </c>
      <c r="AB64" s="19">
        <f>ROUND(N64*Parametri!$C$6,2)</f>
        <v/>
      </c>
      <c r="AC64" s="19">
        <f>ROUND((I64+K64+L64)*Parametri!$C$8/Parametri!$C$7/12,2)</f>
        <v/>
      </c>
      <c r="AD64" s="20">
        <f>IFERROR(INDEX(Agosto!$D$5:$D$173,MATCH(A64,Agosto!$A$5:$A$173,0)),0)</f>
        <v/>
      </c>
      <c r="AE64" s="21">
        <f>ROUND(AD64+ROUND(Parametri!$C$9/12,4)-V64,4)</f>
        <v/>
      </c>
      <c r="AF64" s="19">
        <f>ROUND(I64+K64+L64+M64,2)</f>
        <v/>
      </c>
      <c r="AG64" s="19">
        <f>ROUND(N64-O64-Q64-R64,2)</f>
        <v/>
      </c>
      <c r="AH64" s="22">
        <f>IFERROR(INDEX(Agosto!$C$5:$C$173,MATCH(A64,Agosto!$A$5:$A$173,0)),"")</f>
        <v/>
      </c>
      <c r="AI64" s="23">
        <f>IF(AH64="","",S64/AH64-1)</f>
        <v/>
      </c>
      <c r="AJ64" s="4">
        <f>CHAR(65+MOD(SUMPRODUCT(SUMIF('Codice fiscale'!$A$5:$A$40,MID(C64,{1,3,5,7,9,11,13,15},1),'Codice fiscale'!$B$5:$B$40))+SUMPRODUCT(SUMIF('Codice fiscale'!$A$5:$A$40,MID(C64,{2,4,6,8,10,12,14},1),'Codice fiscale'!$C$5:$C$40)),26))</f>
        <v/>
      </c>
      <c r="AK64" s="4">
        <f>IF(ABS(I64-X64)&gt;Parametri!$C$11,"ERRORE","OK")</f>
        <v/>
      </c>
      <c r="AL64" s="4">
        <f>IF(ABS(K64-AA64)&gt;Parametri!$C$11,"ERRORE","OK")</f>
        <v/>
      </c>
      <c r="AM64" s="4">
        <f>IF(ABS(O64-AB64)&gt;Parametri!$C$11,"ERRORE","OK")</f>
        <v/>
      </c>
      <c r="AN64" s="4">
        <f>IF(ABS(T64-AC64)&gt;Parametri!$C$11,"ERRORE","OK")</f>
        <v/>
      </c>
      <c r="AO64" s="4">
        <f>IF(ABS(W64-AE64)&gt;Parametri!$C$12,"ERRORE","OK")</f>
        <v/>
      </c>
      <c r="AP64" s="4">
        <f>IF(OR(ABS(N64-AF64)&gt;Parametri!$C$11,ABS(S64-AG64)&gt;Parametri!$C$11),"ERRORE","OK")</f>
        <v/>
      </c>
      <c r="AQ64" s="4">
        <f>IF(AI64="","OK",IF(AND(ABS(AI64)&gt;Parametri!$C$10,G64=""),"ERRORE","OK"))</f>
        <v/>
      </c>
      <c r="AR64" s="4">
        <f>IF(AND(LEN(C64)=16,RIGHT(C64,1)=AJ64),"OK","ERRORE")</f>
        <v/>
      </c>
      <c r="AS64" s="12">
        <f>COUNTIF(AK64:AR64,"ERRORE")</f>
        <v/>
      </c>
    </row>
    <row r="65">
      <c r="A65" s="15" t="inlineStr">
        <is>
          <t>B061</t>
        </is>
      </c>
      <c r="B65" s="15" t="inlineStr">
        <is>
          <t>B</t>
        </is>
      </c>
      <c r="C65" s="15" t="inlineStr">
        <is>
          <t>ZPSBZF97B15Z346Q</t>
        </is>
      </c>
      <c r="D65" s="15" t="inlineStr">
        <is>
          <t>4</t>
        </is>
      </c>
      <c r="E65" s="16" t="n">
        <v>45598</v>
      </c>
      <c r="F65" s="17" t="n">
        <v>0.75</v>
      </c>
      <c r="G65" s="15" t="inlineStr"/>
      <c r="H65" s="15" t="b">
        <v>1</v>
      </c>
      <c r="I65" s="17" t="n">
        <v>1336.26</v>
      </c>
      <c r="J65" s="15" t="n">
        <v>0</v>
      </c>
      <c r="K65" s="17" t="n">
        <v>0</v>
      </c>
      <c r="L65" s="17" t="n">
        <v>150</v>
      </c>
      <c r="M65" s="17" t="n">
        <v>0</v>
      </c>
      <c r="N65" s="17" t="n">
        <v>1486.26</v>
      </c>
      <c r="O65" s="17" t="n">
        <v>136.59</v>
      </c>
      <c r="P65" s="17" t="n">
        <v>1349.67</v>
      </c>
      <c r="Q65" s="17" t="n">
        <v>151.49</v>
      </c>
      <c r="R65" s="17" t="n">
        <v>20.25</v>
      </c>
      <c r="S65" s="17" t="n">
        <v>1177.93</v>
      </c>
      <c r="T65" s="17" t="n">
        <v>128.44</v>
      </c>
      <c r="U65" s="18" t="n">
        <v>2.1667</v>
      </c>
      <c r="V65" s="18" t="n">
        <v>1</v>
      </c>
      <c r="W65" s="18" t="n">
        <v>15.6374</v>
      </c>
      <c r="X65" s="19">
        <f>ROUND(INDEX(CCNL!$F$5:$F$12,MATCH(D65,CCNL!$A$5:$A$12,0))*F65,2)</f>
        <v/>
      </c>
      <c r="Y65" s="4">
        <f>(YEAR(Parametri!$C$5)*12+MONTH(Parametri!$C$5))-(YEAR(E65)*12+MONTH(E65))</f>
        <v/>
      </c>
      <c r="Z65" s="4">
        <f>MIN(Parametri!$C$13,MAX(0,INT((Y65-1)/36)))</f>
        <v/>
      </c>
      <c r="AA65" s="19">
        <f>ROUND(INDEX(CCNL!$I$5:$I$12,MATCH(D65,CCNL!$A$5:$A$12,0))*Z65*F65,2)</f>
        <v/>
      </c>
      <c r="AB65" s="19">
        <f>ROUND(N65*Parametri!$C$6,2)</f>
        <v/>
      </c>
      <c r="AC65" s="19">
        <f>ROUND((I65+K65+L65)*Parametri!$C$8/Parametri!$C$7/12,2)</f>
        <v/>
      </c>
      <c r="AD65" s="20">
        <f>IFERROR(INDEX(Agosto!$D$5:$D$173,MATCH(A65,Agosto!$A$5:$A$173,0)),0)</f>
        <v/>
      </c>
      <c r="AE65" s="21">
        <f>ROUND(AD65+ROUND(Parametri!$C$9/12,4)-V65,4)</f>
        <v/>
      </c>
      <c r="AF65" s="19">
        <f>ROUND(I65+K65+L65+M65,2)</f>
        <v/>
      </c>
      <c r="AG65" s="19">
        <f>ROUND(N65-O65-Q65-R65,2)</f>
        <v/>
      </c>
      <c r="AH65" s="22">
        <f>IFERROR(INDEX(Agosto!$C$5:$C$173,MATCH(A65,Agosto!$A$5:$A$173,0)),"")</f>
        <v/>
      </c>
      <c r="AI65" s="23">
        <f>IF(AH65="","",S65/AH65-1)</f>
        <v/>
      </c>
      <c r="AJ65" s="4">
        <f>CHAR(65+MOD(SUMPRODUCT(SUMIF('Codice fiscale'!$A$5:$A$40,MID(C65,{1,3,5,7,9,11,13,15},1),'Codice fiscale'!$B$5:$B$40))+SUMPRODUCT(SUMIF('Codice fiscale'!$A$5:$A$40,MID(C65,{2,4,6,8,10,12,14},1),'Codice fiscale'!$C$5:$C$40)),26))</f>
        <v/>
      </c>
      <c r="AK65" s="4">
        <f>IF(ABS(I65-X65)&gt;Parametri!$C$11,"ERRORE","OK")</f>
        <v/>
      </c>
      <c r="AL65" s="4">
        <f>IF(ABS(K65-AA65)&gt;Parametri!$C$11,"ERRORE","OK")</f>
        <v/>
      </c>
      <c r="AM65" s="4">
        <f>IF(ABS(O65-AB65)&gt;Parametri!$C$11,"ERRORE","OK")</f>
        <v/>
      </c>
      <c r="AN65" s="4">
        <f>IF(ABS(T65-AC65)&gt;Parametri!$C$11,"ERRORE","OK")</f>
        <v/>
      </c>
      <c r="AO65" s="4">
        <f>IF(ABS(W65-AE65)&gt;Parametri!$C$12,"ERRORE","OK")</f>
        <v/>
      </c>
      <c r="AP65" s="4">
        <f>IF(OR(ABS(N65-AF65)&gt;Parametri!$C$11,ABS(S65-AG65)&gt;Parametri!$C$11),"ERRORE","OK")</f>
        <v/>
      </c>
      <c r="AQ65" s="4">
        <f>IF(AI65="","OK",IF(AND(ABS(AI65)&gt;Parametri!$C$10,G65=""),"ERRORE","OK"))</f>
        <v/>
      </c>
      <c r="AR65" s="4">
        <f>IF(AND(LEN(C65)=16,RIGHT(C65,1)=AJ65),"OK","ERRORE")</f>
        <v/>
      </c>
      <c r="AS65" s="12">
        <f>COUNTIF(AK65:AR65,"ERRORE")</f>
        <v/>
      </c>
    </row>
    <row r="66">
      <c r="A66" s="15" t="inlineStr">
        <is>
          <t>B062</t>
        </is>
      </c>
      <c r="B66" s="15" t="inlineStr">
        <is>
          <t>B</t>
        </is>
      </c>
      <c r="C66" s="15" t="inlineStr">
        <is>
          <t>CTTPDP03B49Z364V</t>
        </is>
      </c>
      <c r="D66" s="15" t="inlineStr">
        <is>
          <t>4</t>
        </is>
      </c>
      <c r="E66" s="16" t="n">
        <v>44936</v>
      </c>
      <c r="F66" s="17" t="n">
        <v>1</v>
      </c>
      <c r="G66" s="15" t="inlineStr"/>
      <c r="H66" s="15" t="b">
        <v>1</v>
      </c>
      <c r="I66" s="17" t="n">
        <v>1781.68</v>
      </c>
      <c r="J66" s="15" t="n">
        <v>1</v>
      </c>
      <c r="K66" s="17" t="n">
        <v>20.66</v>
      </c>
      <c r="L66" s="17" t="n">
        <v>80</v>
      </c>
      <c r="M66" s="17" t="n">
        <v>0</v>
      </c>
      <c r="N66" s="17" t="n">
        <v>1882.34</v>
      </c>
      <c r="O66" s="17" t="n">
        <v>172.99</v>
      </c>
      <c r="P66" s="17" t="n">
        <v>1709.35</v>
      </c>
      <c r="Q66" s="17" t="n">
        <v>248.61</v>
      </c>
      <c r="R66" s="17" t="n">
        <v>25.64</v>
      </c>
      <c r="S66" s="17" t="n">
        <v>1435.1</v>
      </c>
      <c r="T66" s="17" t="n">
        <v>162.67</v>
      </c>
      <c r="U66" s="18" t="n">
        <v>2.1667</v>
      </c>
      <c r="V66" s="18" t="n">
        <v>2</v>
      </c>
      <c r="W66" s="18" t="n">
        <v>26.5988</v>
      </c>
      <c r="X66" s="19">
        <f>ROUND(INDEX(CCNL!$F$5:$F$12,MATCH(D66,CCNL!$A$5:$A$12,0))*F66,2)</f>
        <v/>
      </c>
      <c r="Y66" s="4">
        <f>(YEAR(Parametri!$C$5)*12+MONTH(Parametri!$C$5))-(YEAR(E66)*12+MONTH(E66))</f>
        <v/>
      </c>
      <c r="Z66" s="4">
        <f>MIN(Parametri!$C$13,MAX(0,INT((Y66-1)/36)))</f>
        <v/>
      </c>
      <c r="AA66" s="19">
        <f>ROUND(INDEX(CCNL!$I$5:$I$12,MATCH(D66,CCNL!$A$5:$A$12,0))*Z66*F66,2)</f>
        <v/>
      </c>
      <c r="AB66" s="19">
        <f>ROUND(N66*Parametri!$C$6,2)</f>
        <v/>
      </c>
      <c r="AC66" s="19">
        <f>ROUND((I66+K66+L66)*Parametri!$C$8/Parametri!$C$7/12,2)</f>
        <v/>
      </c>
      <c r="AD66" s="20">
        <f>IFERROR(INDEX(Agosto!$D$5:$D$173,MATCH(A66,Agosto!$A$5:$A$173,0)),0)</f>
        <v/>
      </c>
      <c r="AE66" s="21">
        <f>ROUND(AD66+ROUND(Parametri!$C$9/12,4)-V66,4)</f>
        <v/>
      </c>
      <c r="AF66" s="19">
        <f>ROUND(I66+K66+L66+M66,2)</f>
        <v/>
      </c>
      <c r="AG66" s="19">
        <f>ROUND(N66-O66-Q66-R66,2)</f>
        <v/>
      </c>
      <c r="AH66" s="22">
        <f>IFERROR(INDEX(Agosto!$C$5:$C$173,MATCH(A66,Agosto!$A$5:$A$173,0)),"")</f>
        <v/>
      </c>
      <c r="AI66" s="23">
        <f>IF(AH66="","",S66/AH66-1)</f>
        <v/>
      </c>
      <c r="AJ66" s="4">
        <f>CHAR(65+MOD(SUMPRODUCT(SUMIF('Codice fiscale'!$A$5:$A$40,MID(C66,{1,3,5,7,9,11,13,15},1),'Codice fiscale'!$B$5:$B$40))+SUMPRODUCT(SUMIF('Codice fiscale'!$A$5:$A$40,MID(C66,{2,4,6,8,10,12,14},1),'Codice fiscale'!$C$5:$C$40)),26))</f>
        <v/>
      </c>
      <c r="AK66" s="4">
        <f>IF(ABS(I66-X66)&gt;Parametri!$C$11,"ERRORE","OK")</f>
        <v/>
      </c>
      <c r="AL66" s="4">
        <f>IF(ABS(K66-AA66)&gt;Parametri!$C$11,"ERRORE","OK")</f>
        <v/>
      </c>
      <c r="AM66" s="4">
        <f>IF(ABS(O66-AB66)&gt;Parametri!$C$11,"ERRORE","OK")</f>
        <v/>
      </c>
      <c r="AN66" s="4">
        <f>IF(ABS(T66-AC66)&gt;Parametri!$C$11,"ERRORE","OK")</f>
        <v/>
      </c>
      <c r="AO66" s="4">
        <f>IF(ABS(W66-AE66)&gt;Parametri!$C$12,"ERRORE","OK")</f>
        <v/>
      </c>
      <c r="AP66" s="4">
        <f>IF(OR(ABS(N66-AF66)&gt;Parametri!$C$11,ABS(S66-AG66)&gt;Parametri!$C$11),"ERRORE","OK")</f>
        <v/>
      </c>
      <c r="AQ66" s="4">
        <f>IF(AI66="","OK",IF(AND(ABS(AI66)&gt;Parametri!$C$10,G66=""),"ERRORE","OK"))</f>
        <v/>
      </c>
      <c r="AR66" s="4">
        <f>IF(AND(LEN(C66)=16,RIGHT(C66,1)=AJ66),"OK","ERRORE")</f>
        <v/>
      </c>
      <c r="AS66" s="12">
        <f>COUNTIF(AK66:AR66,"ERRORE")</f>
        <v/>
      </c>
    </row>
    <row r="67">
      <c r="A67" s="15" t="inlineStr">
        <is>
          <t>B063</t>
        </is>
      </c>
      <c r="B67" s="15" t="inlineStr">
        <is>
          <t>B</t>
        </is>
      </c>
      <c r="C67" s="15" t="inlineStr">
        <is>
          <t>MMPCNS65P52Z191K</t>
        </is>
      </c>
      <c r="D67" s="15" t="inlineStr">
        <is>
          <t>4</t>
        </is>
      </c>
      <c r="E67" s="16" t="n">
        <v>40069</v>
      </c>
      <c r="F67" s="17" t="n">
        <v>1</v>
      </c>
      <c r="G67" s="15" t="inlineStr"/>
      <c r="H67" s="15" t="b">
        <v>1</v>
      </c>
      <c r="I67" s="17" t="n">
        <v>1781.68</v>
      </c>
      <c r="J67" s="15" t="n">
        <v>5</v>
      </c>
      <c r="K67" s="17" t="n">
        <v>103.3</v>
      </c>
      <c r="L67" s="17" t="n">
        <v>0</v>
      </c>
      <c r="M67" s="17" t="n">
        <v>0</v>
      </c>
      <c r="N67" s="17" t="n">
        <v>1884.98</v>
      </c>
      <c r="O67" s="17" t="n">
        <v>173.23</v>
      </c>
      <c r="P67" s="17" t="n">
        <v>1711.75</v>
      </c>
      <c r="Q67" s="17" t="n">
        <v>249.26</v>
      </c>
      <c r="R67" s="17" t="n">
        <v>25.68</v>
      </c>
      <c r="S67" s="17" t="n">
        <v>1436.81</v>
      </c>
      <c r="T67" s="17" t="n">
        <v>162.9</v>
      </c>
      <c r="U67" s="18" t="n">
        <v>2.1667</v>
      </c>
      <c r="V67" s="18" t="n">
        <v>0</v>
      </c>
      <c r="W67" s="18" t="n">
        <v>15.7177</v>
      </c>
      <c r="X67" s="19">
        <f>ROUND(INDEX(CCNL!$F$5:$F$12,MATCH(D67,CCNL!$A$5:$A$12,0))*F67,2)</f>
        <v/>
      </c>
      <c r="Y67" s="4">
        <f>(YEAR(Parametri!$C$5)*12+MONTH(Parametri!$C$5))-(YEAR(E67)*12+MONTH(E67))</f>
        <v/>
      </c>
      <c r="Z67" s="4">
        <f>MIN(Parametri!$C$13,MAX(0,INT((Y67-1)/36)))</f>
        <v/>
      </c>
      <c r="AA67" s="19">
        <f>ROUND(INDEX(CCNL!$I$5:$I$12,MATCH(D67,CCNL!$A$5:$A$12,0))*Z67*F67,2)</f>
        <v/>
      </c>
      <c r="AB67" s="19">
        <f>ROUND(N67*Parametri!$C$6,2)</f>
        <v/>
      </c>
      <c r="AC67" s="19">
        <f>ROUND((I67+K67+L67)*Parametri!$C$8/Parametri!$C$7/12,2)</f>
        <v/>
      </c>
      <c r="AD67" s="20">
        <f>IFERROR(INDEX(Agosto!$D$5:$D$173,MATCH(A67,Agosto!$A$5:$A$173,0)),0)</f>
        <v/>
      </c>
      <c r="AE67" s="21">
        <f>ROUND(AD67+ROUND(Parametri!$C$9/12,4)-V67,4)</f>
        <v/>
      </c>
      <c r="AF67" s="19">
        <f>ROUND(I67+K67+L67+M67,2)</f>
        <v/>
      </c>
      <c r="AG67" s="19">
        <f>ROUND(N67-O67-Q67-R67,2)</f>
        <v/>
      </c>
      <c r="AH67" s="22">
        <f>IFERROR(INDEX(Agosto!$C$5:$C$173,MATCH(A67,Agosto!$A$5:$A$173,0)),"")</f>
        <v/>
      </c>
      <c r="AI67" s="23">
        <f>IF(AH67="","",S67/AH67-1)</f>
        <v/>
      </c>
      <c r="AJ67" s="4">
        <f>CHAR(65+MOD(SUMPRODUCT(SUMIF('Codice fiscale'!$A$5:$A$40,MID(C67,{1,3,5,7,9,11,13,15},1),'Codice fiscale'!$B$5:$B$40))+SUMPRODUCT(SUMIF('Codice fiscale'!$A$5:$A$40,MID(C67,{2,4,6,8,10,12,14},1),'Codice fiscale'!$C$5:$C$40)),26))</f>
        <v/>
      </c>
      <c r="AK67" s="4">
        <f>IF(ABS(I67-X67)&gt;Parametri!$C$11,"ERRORE","OK")</f>
        <v/>
      </c>
      <c r="AL67" s="4">
        <f>IF(ABS(K67-AA67)&gt;Parametri!$C$11,"ERRORE","OK")</f>
        <v/>
      </c>
      <c r="AM67" s="4">
        <f>IF(ABS(O67-AB67)&gt;Parametri!$C$11,"ERRORE","OK")</f>
        <v/>
      </c>
      <c r="AN67" s="4">
        <f>IF(ABS(T67-AC67)&gt;Parametri!$C$11,"ERRORE","OK")</f>
        <v/>
      </c>
      <c r="AO67" s="4">
        <f>IF(ABS(W67-AE67)&gt;Parametri!$C$12,"ERRORE","OK")</f>
        <v/>
      </c>
      <c r="AP67" s="4">
        <f>IF(OR(ABS(N67-AF67)&gt;Parametri!$C$11,ABS(S67-AG67)&gt;Parametri!$C$11),"ERRORE","OK")</f>
        <v/>
      </c>
      <c r="AQ67" s="4">
        <f>IF(AI67="","OK",IF(AND(ABS(AI67)&gt;Parametri!$C$10,G67=""),"ERRORE","OK"))</f>
        <v/>
      </c>
      <c r="AR67" s="4">
        <f>IF(AND(LEN(C67)=16,RIGHT(C67,1)=AJ67),"OK","ERRORE")</f>
        <v/>
      </c>
      <c r="AS67" s="12">
        <f>COUNTIF(AK67:AR67,"ERRORE")</f>
        <v/>
      </c>
    </row>
    <row r="68">
      <c r="A68" s="15" t="inlineStr">
        <is>
          <t>B064</t>
        </is>
      </c>
      <c r="B68" s="15" t="inlineStr">
        <is>
          <t>B</t>
        </is>
      </c>
      <c r="C68" s="15" t="inlineStr">
        <is>
          <t>CBLCTV74P65Z166G</t>
        </is>
      </c>
      <c r="D68" s="15" t="inlineStr">
        <is>
          <t>7</t>
        </is>
      </c>
      <c r="E68" s="16" t="n">
        <v>42560</v>
      </c>
      <c r="F68" s="17" t="n">
        <v>1</v>
      </c>
      <c r="G68" s="15" t="inlineStr"/>
      <c r="H68" s="15" t="b">
        <v>0</v>
      </c>
      <c r="I68" s="17" t="n">
        <v>1371.58</v>
      </c>
      <c r="J68" s="15" t="n">
        <v>3</v>
      </c>
      <c r="K68" s="17" t="n">
        <v>58.41</v>
      </c>
      <c r="L68" s="17" t="n">
        <v>200</v>
      </c>
      <c r="M68" s="17" t="n">
        <v>0</v>
      </c>
      <c r="N68" s="17" t="n">
        <v>1629.99</v>
      </c>
      <c r="O68" s="17" t="n">
        <v>149.8</v>
      </c>
      <c r="P68" s="17" t="n">
        <v>1480.19</v>
      </c>
      <c r="Q68" s="17" t="n">
        <v>186.73</v>
      </c>
      <c r="R68" s="17" t="n">
        <v>22.2</v>
      </c>
      <c r="S68" s="17" t="n">
        <v>1271.26</v>
      </c>
      <c r="T68" s="17" t="n">
        <v>140.86</v>
      </c>
      <c r="U68" s="18" t="n">
        <v>2.1667</v>
      </c>
      <c r="V68" s="18" t="n">
        <v>0</v>
      </c>
      <c r="W68" s="18" t="n">
        <v>19.1392</v>
      </c>
      <c r="X68" s="19">
        <f>ROUND(INDEX(CCNL!$F$5:$F$12,MATCH(D68,CCNL!$A$5:$A$12,0))*F68,2)</f>
        <v/>
      </c>
      <c r="Y68" s="4">
        <f>(YEAR(Parametri!$C$5)*12+MONTH(Parametri!$C$5))-(YEAR(E68)*12+MONTH(E68))</f>
        <v/>
      </c>
      <c r="Z68" s="4">
        <f>MIN(Parametri!$C$13,MAX(0,INT((Y68-1)/36)))</f>
        <v/>
      </c>
      <c r="AA68" s="19">
        <f>ROUND(INDEX(CCNL!$I$5:$I$12,MATCH(D68,CCNL!$A$5:$A$12,0))*Z68*F68,2)</f>
        <v/>
      </c>
      <c r="AB68" s="19">
        <f>ROUND(N68*Parametri!$C$6,2)</f>
        <v/>
      </c>
      <c r="AC68" s="19">
        <f>ROUND((I68+K68+L68)*Parametri!$C$8/Parametri!$C$7/12,2)</f>
        <v/>
      </c>
      <c r="AD68" s="20">
        <f>IFERROR(INDEX(Agosto!$D$5:$D$173,MATCH(A68,Agosto!$A$5:$A$173,0)),0)</f>
        <v/>
      </c>
      <c r="AE68" s="21">
        <f>ROUND(AD68+ROUND(Parametri!$C$9/12,4)-V68,4)</f>
        <v/>
      </c>
      <c r="AF68" s="19">
        <f>ROUND(I68+K68+L68+M68,2)</f>
        <v/>
      </c>
      <c r="AG68" s="19">
        <f>ROUND(N68-O68-Q68-R68,2)</f>
        <v/>
      </c>
      <c r="AH68" s="22">
        <f>IFERROR(INDEX(Agosto!$C$5:$C$173,MATCH(A68,Agosto!$A$5:$A$173,0)),"")</f>
        <v/>
      </c>
      <c r="AI68" s="23">
        <f>IF(AH68="","",S68/AH68-1)</f>
        <v/>
      </c>
      <c r="AJ68" s="4">
        <f>CHAR(65+MOD(SUMPRODUCT(SUMIF('Codice fiscale'!$A$5:$A$40,MID(C68,{1,3,5,7,9,11,13,15},1),'Codice fiscale'!$B$5:$B$40))+SUMPRODUCT(SUMIF('Codice fiscale'!$A$5:$A$40,MID(C68,{2,4,6,8,10,12,14},1),'Codice fiscale'!$C$5:$C$40)),26))</f>
        <v/>
      </c>
      <c r="AK68" s="4">
        <f>IF(ABS(I68-X68)&gt;Parametri!$C$11,"ERRORE","OK")</f>
        <v/>
      </c>
      <c r="AL68" s="4">
        <f>IF(ABS(K68-AA68)&gt;Parametri!$C$11,"ERRORE","OK")</f>
        <v/>
      </c>
      <c r="AM68" s="4">
        <f>IF(ABS(O68-AB68)&gt;Parametri!$C$11,"ERRORE","OK")</f>
        <v/>
      </c>
      <c r="AN68" s="4">
        <f>IF(ABS(T68-AC68)&gt;Parametri!$C$11,"ERRORE","OK")</f>
        <v/>
      </c>
      <c r="AO68" s="4">
        <f>IF(ABS(W68-AE68)&gt;Parametri!$C$12,"ERRORE","OK")</f>
        <v/>
      </c>
      <c r="AP68" s="4">
        <f>IF(OR(ABS(N68-AF68)&gt;Parametri!$C$11,ABS(S68-AG68)&gt;Parametri!$C$11),"ERRORE","OK")</f>
        <v/>
      </c>
      <c r="AQ68" s="4">
        <f>IF(AI68="","OK",IF(AND(ABS(AI68)&gt;Parametri!$C$10,G68=""),"ERRORE","OK"))</f>
        <v/>
      </c>
      <c r="AR68" s="4">
        <f>IF(AND(LEN(C68)=16,RIGHT(C68,1)=AJ68),"OK","ERRORE")</f>
        <v/>
      </c>
      <c r="AS68" s="12">
        <f>COUNTIF(AK68:AR68,"ERRORE")</f>
        <v/>
      </c>
    </row>
    <row r="69">
      <c r="A69" s="15" t="inlineStr">
        <is>
          <t>B065</t>
        </is>
      </c>
      <c r="B69" s="15" t="inlineStr">
        <is>
          <t>B</t>
        </is>
      </c>
      <c r="C69" s="15" t="inlineStr">
        <is>
          <t>PCDBZM95D27Z145M</t>
        </is>
      </c>
      <c r="D69" s="15" t="inlineStr">
        <is>
          <t>5</t>
        </is>
      </c>
      <c r="E69" s="16" t="n">
        <v>44535</v>
      </c>
      <c r="F69" s="17" t="n">
        <v>1</v>
      </c>
      <c r="G69" s="15" t="inlineStr"/>
      <c r="H69" s="15" t="b">
        <v>0</v>
      </c>
      <c r="I69" s="17" t="n">
        <v>1658.01</v>
      </c>
      <c r="J69" s="15" t="n">
        <v>1</v>
      </c>
      <c r="K69" s="17" t="n">
        <v>20.3</v>
      </c>
      <c r="L69" s="17" t="n">
        <v>200</v>
      </c>
      <c r="M69" s="17" t="n">
        <v>0</v>
      </c>
      <c r="N69" s="17" t="n">
        <v>1878.31</v>
      </c>
      <c r="O69" s="17" t="n">
        <v>172.62</v>
      </c>
      <c r="P69" s="17" t="n">
        <v>1705.69</v>
      </c>
      <c r="Q69" s="17" t="n">
        <v>247.62</v>
      </c>
      <c r="R69" s="17" t="n">
        <v>25.59</v>
      </c>
      <c r="S69" s="17" t="n">
        <v>1432.48</v>
      </c>
      <c r="T69" s="17" t="n">
        <v>162.32</v>
      </c>
      <c r="U69" s="18" t="n">
        <v>2.1667</v>
      </c>
      <c r="V69" s="18" t="n">
        <v>0</v>
      </c>
      <c r="W69" s="18" t="n">
        <v>7.2548</v>
      </c>
      <c r="X69" s="19">
        <f>ROUND(INDEX(CCNL!$F$5:$F$12,MATCH(D69,CCNL!$A$5:$A$12,0))*F69,2)</f>
        <v/>
      </c>
      <c r="Y69" s="4">
        <f>(YEAR(Parametri!$C$5)*12+MONTH(Parametri!$C$5))-(YEAR(E69)*12+MONTH(E69))</f>
        <v/>
      </c>
      <c r="Z69" s="4">
        <f>MIN(Parametri!$C$13,MAX(0,INT((Y69-1)/36)))</f>
        <v/>
      </c>
      <c r="AA69" s="19">
        <f>ROUND(INDEX(CCNL!$I$5:$I$12,MATCH(D69,CCNL!$A$5:$A$12,0))*Z69*F69,2)</f>
        <v/>
      </c>
      <c r="AB69" s="19">
        <f>ROUND(N69*Parametri!$C$6,2)</f>
        <v/>
      </c>
      <c r="AC69" s="19">
        <f>ROUND((I69+K69+L69)*Parametri!$C$8/Parametri!$C$7/12,2)</f>
        <v/>
      </c>
      <c r="AD69" s="20">
        <f>IFERROR(INDEX(Agosto!$D$5:$D$173,MATCH(A69,Agosto!$A$5:$A$173,0)),0)</f>
        <v/>
      </c>
      <c r="AE69" s="21">
        <f>ROUND(AD69+ROUND(Parametri!$C$9/12,4)-V69,4)</f>
        <v/>
      </c>
      <c r="AF69" s="19">
        <f>ROUND(I69+K69+L69+M69,2)</f>
        <v/>
      </c>
      <c r="AG69" s="19">
        <f>ROUND(N69-O69-Q69-R69,2)</f>
        <v/>
      </c>
      <c r="AH69" s="22">
        <f>IFERROR(INDEX(Agosto!$C$5:$C$173,MATCH(A69,Agosto!$A$5:$A$173,0)),"")</f>
        <v/>
      </c>
      <c r="AI69" s="23">
        <f>IF(AH69="","",S69/AH69-1)</f>
        <v/>
      </c>
      <c r="AJ69" s="4">
        <f>CHAR(65+MOD(SUMPRODUCT(SUMIF('Codice fiscale'!$A$5:$A$40,MID(C69,{1,3,5,7,9,11,13,15},1),'Codice fiscale'!$B$5:$B$40))+SUMPRODUCT(SUMIF('Codice fiscale'!$A$5:$A$40,MID(C69,{2,4,6,8,10,12,14},1),'Codice fiscale'!$C$5:$C$40)),26))</f>
        <v/>
      </c>
      <c r="AK69" s="4">
        <f>IF(ABS(I69-X69)&gt;Parametri!$C$11,"ERRORE","OK")</f>
        <v/>
      </c>
      <c r="AL69" s="4">
        <f>IF(ABS(K69-AA69)&gt;Parametri!$C$11,"ERRORE","OK")</f>
        <v/>
      </c>
      <c r="AM69" s="4">
        <f>IF(ABS(O69-AB69)&gt;Parametri!$C$11,"ERRORE","OK")</f>
        <v/>
      </c>
      <c r="AN69" s="4">
        <f>IF(ABS(T69-AC69)&gt;Parametri!$C$11,"ERRORE","OK")</f>
        <v/>
      </c>
      <c r="AO69" s="4">
        <f>IF(ABS(W69-AE69)&gt;Parametri!$C$12,"ERRORE","OK")</f>
        <v/>
      </c>
      <c r="AP69" s="4">
        <f>IF(OR(ABS(N69-AF69)&gt;Parametri!$C$11,ABS(S69-AG69)&gt;Parametri!$C$11),"ERRORE","OK")</f>
        <v/>
      </c>
      <c r="AQ69" s="4">
        <f>IF(AI69="","OK",IF(AND(ABS(AI69)&gt;Parametri!$C$10,G69=""),"ERRORE","OK"))</f>
        <v/>
      </c>
      <c r="AR69" s="4">
        <f>IF(AND(LEN(C69)=16,RIGHT(C69,1)=AJ69),"OK","ERRORE")</f>
        <v/>
      </c>
      <c r="AS69" s="12">
        <f>COUNTIF(AK69:AR69,"ERRORE")</f>
        <v/>
      </c>
    </row>
    <row r="70">
      <c r="A70" s="15" t="inlineStr">
        <is>
          <t>B066</t>
        </is>
      </c>
      <c r="B70" s="15" t="inlineStr">
        <is>
          <t>B</t>
        </is>
      </c>
      <c r="C70" s="15" t="inlineStr">
        <is>
          <t>SGFCMF88S59Z255N</t>
        </is>
      </c>
      <c r="D70" s="15" t="inlineStr">
        <is>
          <t>2</t>
        </is>
      </c>
      <c r="E70" s="16" t="n">
        <v>42990</v>
      </c>
      <c r="F70" s="17" t="n">
        <v>1</v>
      </c>
      <c r="G70" s="15" t="inlineStr"/>
      <c r="H70" s="15" t="b">
        <v>1</v>
      </c>
      <c r="I70" s="17" t="n">
        <v>2233.6</v>
      </c>
      <c r="J70" s="15" t="n">
        <v>2</v>
      </c>
      <c r="K70" s="17" t="n">
        <v>45.66</v>
      </c>
      <c r="L70" s="17" t="n">
        <v>0</v>
      </c>
      <c r="M70" s="17" t="n">
        <v>0</v>
      </c>
      <c r="N70" s="17" t="n">
        <v>2279.26</v>
      </c>
      <c r="O70" s="17" t="n">
        <v>209.46</v>
      </c>
      <c r="P70" s="17" t="n">
        <v>2069.8</v>
      </c>
      <c r="Q70" s="17" t="n">
        <v>345.93</v>
      </c>
      <c r="R70" s="17" t="n">
        <v>31.05</v>
      </c>
      <c r="S70" s="17" t="n">
        <v>1692.82</v>
      </c>
      <c r="T70" s="17" t="n">
        <v>196.97</v>
      </c>
      <c r="U70" s="18" t="n">
        <v>2.1667</v>
      </c>
      <c r="V70" s="18" t="n">
        <v>0</v>
      </c>
      <c r="W70" s="18" t="n">
        <v>11.3108</v>
      </c>
      <c r="X70" s="19">
        <f>ROUND(INDEX(CCNL!$F$5:$F$12,MATCH(D70,CCNL!$A$5:$A$12,0))*F70,2)</f>
        <v/>
      </c>
      <c r="Y70" s="4">
        <f>(YEAR(Parametri!$C$5)*12+MONTH(Parametri!$C$5))-(YEAR(E70)*12+MONTH(E70))</f>
        <v/>
      </c>
      <c r="Z70" s="4">
        <f>MIN(Parametri!$C$13,MAX(0,INT((Y70-1)/36)))</f>
        <v/>
      </c>
      <c r="AA70" s="19">
        <f>ROUND(INDEX(CCNL!$I$5:$I$12,MATCH(D70,CCNL!$A$5:$A$12,0))*Z70*F70,2)</f>
        <v/>
      </c>
      <c r="AB70" s="19">
        <f>ROUND(N70*Parametri!$C$6,2)</f>
        <v/>
      </c>
      <c r="AC70" s="19">
        <f>ROUND((I70+K70+L70)*Parametri!$C$8/Parametri!$C$7/12,2)</f>
        <v/>
      </c>
      <c r="AD70" s="20">
        <f>IFERROR(INDEX(Agosto!$D$5:$D$173,MATCH(A70,Agosto!$A$5:$A$173,0)),0)</f>
        <v/>
      </c>
      <c r="AE70" s="21">
        <f>ROUND(AD70+ROUND(Parametri!$C$9/12,4)-V70,4)</f>
        <v/>
      </c>
      <c r="AF70" s="19">
        <f>ROUND(I70+K70+L70+M70,2)</f>
        <v/>
      </c>
      <c r="AG70" s="19">
        <f>ROUND(N70-O70-Q70-R70,2)</f>
        <v/>
      </c>
      <c r="AH70" s="22">
        <f>IFERROR(INDEX(Agosto!$C$5:$C$173,MATCH(A70,Agosto!$A$5:$A$173,0)),"")</f>
        <v/>
      </c>
      <c r="AI70" s="23">
        <f>IF(AH70="","",S70/AH70-1)</f>
        <v/>
      </c>
      <c r="AJ70" s="4">
        <f>CHAR(65+MOD(SUMPRODUCT(SUMIF('Codice fiscale'!$A$5:$A$40,MID(C70,{1,3,5,7,9,11,13,15},1),'Codice fiscale'!$B$5:$B$40))+SUMPRODUCT(SUMIF('Codice fiscale'!$A$5:$A$40,MID(C70,{2,4,6,8,10,12,14},1),'Codice fiscale'!$C$5:$C$40)),26))</f>
        <v/>
      </c>
      <c r="AK70" s="4">
        <f>IF(ABS(I70-X70)&gt;Parametri!$C$11,"ERRORE","OK")</f>
        <v/>
      </c>
      <c r="AL70" s="4">
        <f>IF(ABS(K70-AA70)&gt;Parametri!$C$11,"ERRORE","OK")</f>
        <v/>
      </c>
      <c r="AM70" s="4">
        <f>IF(ABS(O70-AB70)&gt;Parametri!$C$11,"ERRORE","OK")</f>
        <v/>
      </c>
      <c r="AN70" s="4">
        <f>IF(ABS(T70-AC70)&gt;Parametri!$C$11,"ERRORE","OK")</f>
        <v/>
      </c>
      <c r="AO70" s="4">
        <f>IF(ABS(W70-AE70)&gt;Parametri!$C$12,"ERRORE","OK")</f>
        <v/>
      </c>
      <c r="AP70" s="4">
        <f>IF(OR(ABS(N70-AF70)&gt;Parametri!$C$11,ABS(S70-AG70)&gt;Parametri!$C$11),"ERRORE","OK")</f>
        <v/>
      </c>
      <c r="AQ70" s="4">
        <f>IF(AI70="","OK",IF(AND(ABS(AI70)&gt;Parametri!$C$10,G70=""),"ERRORE","OK"))</f>
        <v/>
      </c>
      <c r="AR70" s="4">
        <f>IF(AND(LEN(C70)=16,RIGHT(C70,1)=AJ70),"OK","ERRORE")</f>
        <v/>
      </c>
      <c r="AS70" s="12">
        <f>COUNTIF(AK70:AR70,"ERRORE")</f>
        <v/>
      </c>
    </row>
    <row r="71">
      <c r="A71" s="15" t="inlineStr">
        <is>
          <t>B067</t>
        </is>
      </c>
      <c r="B71" s="15" t="inlineStr">
        <is>
          <t>B</t>
        </is>
      </c>
      <c r="C71" s="15" t="inlineStr">
        <is>
          <t>RCFSNV98C10Z181V</t>
        </is>
      </c>
      <c r="D71" s="15" t="inlineStr">
        <is>
          <t>4</t>
        </is>
      </c>
      <c r="E71" s="16" t="n">
        <v>45658</v>
      </c>
      <c r="F71" s="17" t="n">
        <v>0.75</v>
      </c>
      <c r="G71" s="15" t="inlineStr"/>
      <c r="H71" s="15" t="b">
        <v>1</v>
      </c>
      <c r="I71" s="17" t="n">
        <v>1336.26</v>
      </c>
      <c r="J71" s="15" t="n">
        <v>0</v>
      </c>
      <c r="K71" s="17" t="n">
        <v>0</v>
      </c>
      <c r="L71" s="17" t="n">
        <v>150</v>
      </c>
      <c r="M71" s="17" t="n">
        <v>0</v>
      </c>
      <c r="N71" s="17" t="n">
        <v>1486.26</v>
      </c>
      <c r="O71" s="17" t="n">
        <v>136.59</v>
      </c>
      <c r="P71" s="17" t="n">
        <v>1349.67</v>
      </c>
      <c r="Q71" s="17" t="n">
        <v>151.49</v>
      </c>
      <c r="R71" s="17" t="n">
        <v>20.25</v>
      </c>
      <c r="S71" s="17" t="n">
        <v>1177.93</v>
      </c>
      <c r="T71" s="17" t="n">
        <v>128.44</v>
      </c>
      <c r="U71" s="18" t="n">
        <v>2.1667</v>
      </c>
      <c r="V71" s="18" t="n">
        <v>1</v>
      </c>
      <c r="W71" s="18" t="n">
        <v>6.462</v>
      </c>
      <c r="X71" s="19">
        <f>ROUND(INDEX(CCNL!$F$5:$F$12,MATCH(D71,CCNL!$A$5:$A$12,0))*F71,2)</f>
        <v/>
      </c>
      <c r="Y71" s="4">
        <f>(YEAR(Parametri!$C$5)*12+MONTH(Parametri!$C$5))-(YEAR(E71)*12+MONTH(E71))</f>
        <v/>
      </c>
      <c r="Z71" s="4">
        <f>MIN(Parametri!$C$13,MAX(0,INT((Y71-1)/36)))</f>
        <v/>
      </c>
      <c r="AA71" s="19">
        <f>ROUND(INDEX(CCNL!$I$5:$I$12,MATCH(D71,CCNL!$A$5:$A$12,0))*Z71*F71,2)</f>
        <v/>
      </c>
      <c r="AB71" s="19">
        <f>ROUND(N71*Parametri!$C$6,2)</f>
        <v/>
      </c>
      <c r="AC71" s="19">
        <f>ROUND((I71+K71+L71)*Parametri!$C$8/Parametri!$C$7/12,2)</f>
        <v/>
      </c>
      <c r="AD71" s="20">
        <f>IFERROR(INDEX(Agosto!$D$5:$D$173,MATCH(A71,Agosto!$A$5:$A$173,0)),0)</f>
        <v/>
      </c>
      <c r="AE71" s="21">
        <f>ROUND(AD71+ROUND(Parametri!$C$9/12,4)-V71,4)</f>
        <v/>
      </c>
      <c r="AF71" s="19">
        <f>ROUND(I71+K71+L71+M71,2)</f>
        <v/>
      </c>
      <c r="AG71" s="19">
        <f>ROUND(N71-O71-Q71-R71,2)</f>
        <v/>
      </c>
      <c r="AH71" s="22">
        <f>IFERROR(INDEX(Agosto!$C$5:$C$173,MATCH(A71,Agosto!$A$5:$A$173,0)),"")</f>
        <v/>
      </c>
      <c r="AI71" s="23">
        <f>IF(AH71="","",S71/AH71-1)</f>
        <v/>
      </c>
      <c r="AJ71" s="4">
        <f>CHAR(65+MOD(SUMPRODUCT(SUMIF('Codice fiscale'!$A$5:$A$40,MID(C71,{1,3,5,7,9,11,13,15},1),'Codice fiscale'!$B$5:$B$40))+SUMPRODUCT(SUMIF('Codice fiscale'!$A$5:$A$40,MID(C71,{2,4,6,8,10,12,14},1),'Codice fiscale'!$C$5:$C$40)),26))</f>
        <v/>
      </c>
      <c r="AK71" s="4">
        <f>IF(ABS(I71-X71)&gt;Parametri!$C$11,"ERRORE","OK")</f>
        <v/>
      </c>
      <c r="AL71" s="4">
        <f>IF(ABS(K71-AA71)&gt;Parametri!$C$11,"ERRORE","OK")</f>
        <v/>
      </c>
      <c r="AM71" s="4">
        <f>IF(ABS(O71-AB71)&gt;Parametri!$C$11,"ERRORE","OK")</f>
        <v/>
      </c>
      <c r="AN71" s="4">
        <f>IF(ABS(T71-AC71)&gt;Parametri!$C$11,"ERRORE","OK")</f>
        <v/>
      </c>
      <c r="AO71" s="4">
        <f>IF(ABS(W71-AE71)&gt;Parametri!$C$12,"ERRORE","OK")</f>
        <v/>
      </c>
      <c r="AP71" s="4">
        <f>IF(OR(ABS(N71-AF71)&gt;Parametri!$C$11,ABS(S71-AG71)&gt;Parametri!$C$11),"ERRORE","OK")</f>
        <v/>
      </c>
      <c r="AQ71" s="4">
        <f>IF(AI71="","OK",IF(AND(ABS(AI71)&gt;Parametri!$C$10,G71=""),"ERRORE","OK"))</f>
        <v/>
      </c>
      <c r="AR71" s="4">
        <f>IF(AND(LEN(C71)=16,RIGHT(C71,1)=AJ71),"OK","ERRORE")</f>
        <v/>
      </c>
      <c r="AS71" s="12">
        <f>COUNTIF(AK71:AR71,"ERRORE")</f>
        <v/>
      </c>
    </row>
    <row r="72">
      <c r="A72" s="15" t="inlineStr">
        <is>
          <t>B068</t>
        </is>
      </c>
      <c r="B72" s="15" t="inlineStr">
        <is>
          <t>B</t>
        </is>
      </c>
      <c r="C72" s="15" t="inlineStr">
        <is>
          <t>BNRGDM92B43Z102G</t>
        </is>
      </c>
      <c r="D72" s="15" t="inlineStr">
        <is>
          <t>4</t>
        </is>
      </c>
      <c r="E72" s="16" t="n">
        <v>42024</v>
      </c>
      <c r="F72" s="17" t="n">
        <v>1</v>
      </c>
      <c r="G72" s="15" t="inlineStr"/>
      <c r="H72" s="15" t="b">
        <v>1</v>
      </c>
      <c r="I72" s="17" t="n">
        <v>1781.68</v>
      </c>
      <c r="J72" s="15" t="n">
        <v>3</v>
      </c>
      <c r="K72" s="17" t="n">
        <v>61.98</v>
      </c>
      <c r="L72" s="17" t="n">
        <v>80</v>
      </c>
      <c r="M72" s="17" t="n">
        <v>0</v>
      </c>
      <c r="N72" s="17" t="n">
        <v>1923.66</v>
      </c>
      <c r="O72" s="17" t="n">
        <v>176.78</v>
      </c>
      <c r="P72" s="17" t="n">
        <v>1746.88</v>
      </c>
      <c r="Q72" s="17" t="n">
        <v>258.74</v>
      </c>
      <c r="R72" s="17" t="n">
        <v>26.2</v>
      </c>
      <c r="S72" s="17" t="n">
        <v>1461.94</v>
      </c>
      <c r="T72" s="17" t="n">
        <v>166.24</v>
      </c>
      <c r="U72" s="18" t="n">
        <v>2.1667</v>
      </c>
      <c r="V72" s="18" t="n">
        <v>0</v>
      </c>
      <c r="W72" s="18" t="n">
        <v>11.2509</v>
      </c>
      <c r="X72" s="19">
        <f>ROUND(INDEX(CCNL!$F$5:$F$12,MATCH(D72,CCNL!$A$5:$A$12,0))*F72,2)</f>
        <v/>
      </c>
      <c r="Y72" s="4">
        <f>(YEAR(Parametri!$C$5)*12+MONTH(Parametri!$C$5))-(YEAR(E72)*12+MONTH(E72))</f>
        <v/>
      </c>
      <c r="Z72" s="4">
        <f>MIN(Parametri!$C$13,MAX(0,INT((Y72-1)/36)))</f>
        <v/>
      </c>
      <c r="AA72" s="19">
        <f>ROUND(INDEX(CCNL!$I$5:$I$12,MATCH(D72,CCNL!$A$5:$A$12,0))*Z72*F72,2)</f>
        <v/>
      </c>
      <c r="AB72" s="19">
        <f>ROUND(N72*Parametri!$C$6,2)</f>
        <v/>
      </c>
      <c r="AC72" s="19">
        <f>ROUND((I72+K72+L72)*Parametri!$C$8/Parametri!$C$7/12,2)</f>
        <v/>
      </c>
      <c r="AD72" s="20">
        <f>IFERROR(INDEX(Agosto!$D$5:$D$173,MATCH(A72,Agosto!$A$5:$A$173,0)),0)</f>
        <v/>
      </c>
      <c r="AE72" s="21">
        <f>ROUND(AD72+ROUND(Parametri!$C$9/12,4)-V72,4)</f>
        <v/>
      </c>
      <c r="AF72" s="19">
        <f>ROUND(I72+K72+L72+M72,2)</f>
        <v/>
      </c>
      <c r="AG72" s="19">
        <f>ROUND(N72-O72-Q72-R72,2)</f>
        <v/>
      </c>
      <c r="AH72" s="22">
        <f>IFERROR(INDEX(Agosto!$C$5:$C$173,MATCH(A72,Agosto!$A$5:$A$173,0)),"")</f>
        <v/>
      </c>
      <c r="AI72" s="23">
        <f>IF(AH72="","",S72/AH72-1)</f>
        <v/>
      </c>
      <c r="AJ72" s="4">
        <f>CHAR(65+MOD(SUMPRODUCT(SUMIF('Codice fiscale'!$A$5:$A$40,MID(C72,{1,3,5,7,9,11,13,15},1),'Codice fiscale'!$B$5:$B$40))+SUMPRODUCT(SUMIF('Codice fiscale'!$A$5:$A$40,MID(C72,{2,4,6,8,10,12,14},1),'Codice fiscale'!$C$5:$C$40)),26))</f>
        <v/>
      </c>
      <c r="AK72" s="4">
        <f>IF(ABS(I72-X72)&gt;Parametri!$C$11,"ERRORE","OK")</f>
        <v/>
      </c>
      <c r="AL72" s="4">
        <f>IF(ABS(K72-AA72)&gt;Parametri!$C$11,"ERRORE","OK")</f>
        <v/>
      </c>
      <c r="AM72" s="4">
        <f>IF(ABS(O72-AB72)&gt;Parametri!$C$11,"ERRORE","OK")</f>
        <v/>
      </c>
      <c r="AN72" s="4">
        <f>IF(ABS(T72-AC72)&gt;Parametri!$C$11,"ERRORE","OK")</f>
        <v/>
      </c>
      <c r="AO72" s="4">
        <f>IF(ABS(W72-AE72)&gt;Parametri!$C$12,"ERRORE","OK")</f>
        <v/>
      </c>
      <c r="AP72" s="4">
        <f>IF(OR(ABS(N72-AF72)&gt;Parametri!$C$11,ABS(S72-AG72)&gt;Parametri!$C$11),"ERRORE","OK")</f>
        <v/>
      </c>
      <c r="AQ72" s="4">
        <f>IF(AI72="","OK",IF(AND(ABS(AI72)&gt;Parametri!$C$10,G72=""),"ERRORE","OK"))</f>
        <v/>
      </c>
      <c r="AR72" s="4">
        <f>IF(AND(LEN(C72)=16,RIGHT(C72,1)=AJ72),"OK","ERRORE")</f>
        <v/>
      </c>
      <c r="AS72" s="12">
        <f>COUNTIF(AK72:AR72,"ERRORE")</f>
        <v/>
      </c>
    </row>
    <row r="73">
      <c r="A73" s="15" t="inlineStr">
        <is>
          <t>B069</t>
        </is>
      </c>
      <c r="B73" s="15" t="inlineStr">
        <is>
          <t>B</t>
        </is>
      </c>
      <c r="C73" s="15" t="inlineStr">
        <is>
          <t>GNTRMN76H55Z251B</t>
        </is>
      </c>
      <c r="D73" s="15" t="inlineStr">
        <is>
          <t>4</t>
        </is>
      </c>
      <c r="E73" s="16" t="n">
        <v>36350</v>
      </c>
      <c r="F73" s="17" t="n">
        <v>1</v>
      </c>
      <c r="G73" s="15" t="inlineStr"/>
      <c r="H73" s="15" t="b">
        <v>0</v>
      </c>
      <c r="I73" s="17" t="n">
        <v>1781.68</v>
      </c>
      <c r="J73" s="15" t="n">
        <v>9</v>
      </c>
      <c r="K73" s="17" t="n">
        <v>185.94</v>
      </c>
      <c r="L73" s="17" t="n">
        <v>80</v>
      </c>
      <c r="M73" s="17" t="n">
        <v>0</v>
      </c>
      <c r="N73" s="17" t="n">
        <v>2047.62</v>
      </c>
      <c r="O73" s="17" t="n">
        <v>188.18</v>
      </c>
      <c r="P73" s="17" t="n">
        <v>1859.44</v>
      </c>
      <c r="Q73" s="17" t="n">
        <v>289.13</v>
      </c>
      <c r="R73" s="17" t="n">
        <v>27.89</v>
      </c>
      <c r="S73" s="17" t="n">
        <v>1542.42</v>
      </c>
      <c r="T73" s="17" t="n">
        <v>176.95</v>
      </c>
      <c r="U73" s="18" t="n">
        <v>2.1667</v>
      </c>
      <c r="V73" s="18" t="n">
        <v>0</v>
      </c>
      <c r="W73" s="18" t="n">
        <v>15.114</v>
      </c>
      <c r="X73" s="19">
        <f>ROUND(INDEX(CCNL!$F$5:$F$12,MATCH(D73,CCNL!$A$5:$A$12,0))*F73,2)</f>
        <v/>
      </c>
      <c r="Y73" s="4">
        <f>(YEAR(Parametri!$C$5)*12+MONTH(Parametri!$C$5))-(YEAR(E73)*12+MONTH(E73))</f>
        <v/>
      </c>
      <c r="Z73" s="4">
        <f>MIN(Parametri!$C$13,MAX(0,INT((Y73-1)/36)))</f>
        <v/>
      </c>
      <c r="AA73" s="19">
        <f>ROUND(INDEX(CCNL!$I$5:$I$12,MATCH(D73,CCNL!$A$5:$A$12,0))*Z73*F73,2)</f>
        <v/>
      </c>
      <c r="AB73" s="19">
        <f>ROUND(N73*Parametri!$C$6,2)</f>
        <v/>
      </c>
      <c r="AC73" s="19">
        <f>ROUND((I73+K73+L73)*Parametri!$C$8/Parametri!$C$7/12,2)</f>
        <v/>
      </c>
      <c r="AD73" s="20">
        <f>IFERROR(INDEX(Agosto!$D$5:$D$173,MATCH(A73,Agosto!$A$5:$A$173,0)),0)</f>
        <v/>
      </c>
      <c r="AE73" s="21">
        <f>ROUND(AD73+ROUND(Parametri!$C$9/12,4)-V73,4)</f>
        <v/>
      </c>
      <c r="AF73" s="19">
        <f>ROUND(I73+K73+L73+M73,2)</f>
        <v/>
      </c>
      <c r="AG73" s="19">
        <f>ROUND(N73-O73-Q73-R73,2)</f>
        <v/>
      </c>
      <c r="AH73" s="22">
        <f>IFERROR(INDEX(Agosto!$C$5:$C$173,MATCH(A73,Agosto!$A$5:$A$173,0)),"")</f>
        <v/>
      </c>
      <c r="AI73" s="23">
        <f>IF(AH73="","",S73/AH73-1)</f>
        <v/>
      </c>
      <c r="AJ73" s="4">
        <f>CHAR(65+MOD(SUMPRODUCT(SUMIF('Codice fiscale'!$A$5:$A$40,MID(C73,{1,3,5,7,9,11,13,15},1),'Codice fiscale'!$B$5:$B$40))+SUMPRODUCT(SUMIF('Codice fiscale'!$A$5:$A$40,MID(C73,{2,4,6,8,10,12,14},1),'Codice fiscale'!$C$5:$C$40)),26))</f>
        <v/>
      </c>
      <c r="AK73" s="4">
        <f>IF(ABS(I73-X73)&gt;Parametri!$C$11,"ERRORE","OK")</f>
        <v/>
      </c>
      <c r="AL73" s="4">
        <f>IF(ABS(K73-AA73)&gt;Parametri!$C$11,"ERRORE","OK")</f>
        <v/>
      </c>
      <c r="AM73" s="4">
        <f>IF(ABS(O73-AB73)&gt;Parametri!$C$11,"ERRORE","OK")</f>
        <v/>
      </c>
      <c r="AN73" s="4">
        <f>IF(ABS(T73-AC73)&gt;Parametri!$C$11,"ERRORE","OK")</f>
        <v/>
      </c>
      <c r="AO73" s="4">
        <f>IF(ABS(W73-AE73)&gt;Parametri!$C$12,"ERRORE","OK")</f>
        <v/>
      </c>
      <c r="AP73" s="4">
        <f>IF(OR(ABS(N73-AF73)&gt;Parametri!$C$11,ABS(S73-AG73)&gt;Parametri!$C$11),"ERRORE","OK")</f>
        <v/>
      </c>
      <c r="AQ73" s="4">
        <f>IF(AI73="","OK",IF(AND(ABS(AI73)&gt;Parametri!$C$10,G73=""),"ERRORE","OK"))</f>
        <v/>
      </c>
      <c r="AR73" s="4">
        <f>IF(AND(LEN(C73)=16,RIGHT(C73,1)=AJ73),"OK","ERRORE")</f>
        <v/>
      </c>
      <c r="AS73" s="12">
        <f>COUNTIF(AK73:AR73,"ERRORE")</f>
        <v/>
      </c>
    </row>
    <row r="74">
      <c r="A74" s="15" t="inlineStr">
        <is>
          <t>B070</t>
        </is>
      </c>
      <c r="B74" s="15" t="inlineStr">
        <is>
          <t>B</t>
        </is>
      </c>
      <c r="C74" s="15" t="inlineStr">
        <is>
          <t>FZTSLD68R18Z151C</t>
        </is>
      </c>
      <c r="D74" s="15" t="inlineStr">
        <is>
          <t>7</t>
        </is>
      </c>
      <c r="E74" s="16" t="n">
        <v>35162</v>
      </c>
      <c r="F74" s="17" t="n">
        <v>1</v>
      </c>
      <c r="G74" s="15" t="inlineStr"/>
      <c r="H74" s="15" t="b">
        <v>1</v>
      </c>
      <c r="I74" s="17" t="n">
        <v>1395.89</v>
      </c>
      <c r="J74" s="15" t="n">
        <v>10</v>
      </c>
      <c r="K74" s="17" t="n">
        <v>194.7</v>
      </c>
      <c r="L74" s="17" t="n">
        <v>150</v>
      </c>
      <c r="M74" s="17" t="n">
        <v>0</v>
      </c>
      <c r="N74" s="17" t="n">
        <v>1740.59</v>
      </c>
      <c r="O74" s="17" t="n">
        <v>159.96</v>
      </c>
      <c r="P74" s="17" t="n">
        <v>1580.63</v>
      </c>
      <c r="Q74" s="17" t="n">
        <v>213.85</v>
      </c>
      <c r="R74" s="17" t="n">
        <v>23.71</v>
      </c>
      <c r="S74" s="17" t="n">
        <v>1343.07</v>
      </c>
      <c r="T74" s="17" t="n">
        <v>150.42</v>
      </c>
      <c r="U74" s="18" t="n">
        <v>2.1667</v>
      </c>
      <c r="V74" s="18" t="n">
        <v>1</v>
      </c>
      <c r="W74" s="18" t="n">
        <v>13.1073</v>
      </c>
      <c r="X74" s="19">
        <f>ROUND(INDEX(CCNL!$F$5:$F$12,MATCH(D74,CCNL!$A$5:$A$12,0))*F74,2)</f>
        <v/>
      </c>
      <c r="Y74" s="4">
        <f>(YEAR(Parametri!$C$5)*12+MONTH(Parametri!$C$5))-(YEAR(E74)*12+MONTH(E74))</f>
        <v/>
      </c>
      <c r="Z74" s="4">
        <f>MIN(Parametri!$C$13,MAX(0,INT((Y74-1)/36)))</f>
        <v/>
      </c>
      <c r="AA74" s="19">
        <f>ROUND(INDEX(CCNL!$I$5:$I$12,MATCH(D74,CCNL!$A$5:$A$12,0))*Z74*F74,2)</f>
        <v/>
      </c>
      <c r="AB74" s="19">
        <f>ROUND(N74*Parametri!$C$6,2)</f>
        <v/>
      </c>
      <c r="AC74" s="19">
        <f>ROUND((I74+K74+L74)*Parametri!$C$8/Parametri!$C$7/12,2)</f>
        <v/>
      </c>
      <c r="AD74" s="20">
        <f>IFERROR(INDEX(Agosto!$D$5:$D$173,MATCH(A74,Agosto!$A$5:$A$173,0)),0)</f>
        <v/>
      </c>
      <c r="AE74" s="21">
        <f>ROUND(AD74+ROUND(Parametri!$C$9/12,4)-V74,4)</f>
        <v/>
      </c>
      <c r="AF74" s="19">
        <f>ROUND(I74+K74+L74+M74,2)</f>
        <v/>
      </c>
      <c r="AG74" s="19">
        <f>ROUND(N74-O74-Q74-R74,2)</f>
        <v/>
      </c>
      <c r="AH74" s="22">
        <f>IFERROR(INDEX(Agosto!$C$5:$C$173,MATCH(A74,Agosto!$A$5:$A$173,0)),"")</f>
        <v/>
      </c>
      <c r="AI74" s="23">
        <f>IF(AH74="","",S74/AH74-1)</f>
        <v/>
      </c>
      <c r="AJ74" s="4">
        <f>CHAR(65+MOD(SUMPRODUCT(SUMIF('Codice fiscale'!$A$5:$A$40,MID(C74,{1,3,5,7,9,11,13,15},1),'Codice fiscale'!$B$5:$B$40))+SUMPRODUCT(SUMIF('Codice fiscale'!$A$5:$A$40,MID(C74,{2,4,6,8,10,12,14},1),'Codice fiscale'!$C$5:$C$40)),26))</f>
        <v/>
      </c>
      <c r="AK74" s="4">
        <f>IF(ABS(I74-X74)&gt;Parametri!$C$11,"ERRORE","OK")</f>
        <v/>
      </c>
      <c r="AL74" s="4">
        <f>IF(ABS(K74-AA74)&gt;Parametri!$C$11,"ERRORE","OK")</f>
        <v/>
      </c>
      <c r="AM74" s="4">
        <f>IF(ABS(O74-AB74)&gt;Parametri!$C$11,"ERRORE","OK")</f>
        <v/>
      </c>
      <c r="AN74" s="4">
        <f>IF(ABS(T74-AC74)&gt;Parametri!$C$11,"ERRORE","OK")</f>
        <v/>
      </c>
      <c r="AO74" s="4">
        <f>IF(ABS(W74-AE74)&gt;Parametri!$C$12,"ERRORE","OK")</f>
        <v/>
      </c>
      <c r="AP74" s="4">
        <f>IF(OR(ABS(N74-AF74)&gt;Parametri!$C$11,ABS(S74-AG74)&gt;Parametri!$C$11),"ERRORE","OK")</f>
        <v/>
      </c>
      <c r="AQ74" s="4">
        <f>IF(AI74="","OK",IF(AND(ABS(AI74)&gt;Parametri!$C$10,G74=""),"ERRORE","OK"))</f>
        <v/>
      </c>
      <c r="AR74" s="4">
        <f>IF(AND(LEN(C74)=16,RIGHT(C74,1)=AJ74),"OK","ERRORE")</f>
        <v/>
      </c>
      <c r="AS74" s="12">
        <f>COUNTIF(AK74:AR74,"ERRORE")</f>
        <v/>
      </c>
    </row>
    <row r="75">
      <c r="A75" s="15" t="inlineStr">
        <is>
          <t>B071</t>
        </is>
      </c>
      <c r="B75" s="15" t="inlineStr">
        <is>
          <t>B</t>
        </is>
      </c>
      <c r="C75" s="15" t="inlineStr">
        <is>
          <t>MTGLZN83S58Z224Q</t>
        </is>
      </c>
      <c r="D75" s="15" t="inlineStr">
        <is>
          <t>4</t>
        </is>
      </c>
      <c r="E75" s="16" t="n">
        <v>41749</v>
      </c>
      <c r="F75" s="17" t="n">
        <v>0.5</v>
      </c>
      <c r="G75" s="15" t="inlineStr"/>
      <c r="H75" s="15" t="b">
        <v>1</v>
      </c>
      <c r="I75" s="17" t="n">
        <v>890.84</v>
      </c>
      <c r="J75" s="15" t="n">
        <v>4</v>
      </c>
      <c r="K75" s="17" t="n">
        <v>41.32</v>
      </c>
      <c r="L75" s="17" t="n">
        <v>150</v>
      </c>
      <c r="M75" s="17" t="n">
        <v>0</v>
      </c>
      <c r="N75" s="17" t="n">
        <v>1082.16</v>
      </c>
      <c r="O75" s="17" t="n">
        <v>99.45</v>
      </c>
      <c r="P75" s="17" t="n">
        <v>982.71</v>
      </c>
      <c r="Q75" s="17" t="n">
        <v>63.11</v>
      </c>
      <c r="R75" s="17" t="n">
        <v>14.74</v>
      </c>
      <c r="S75" s="17" t="n">
        <v>904.86</v>
      </c>
      <c r="T75" s="17" t="n">
        <v>93.52</v>
      </c>
      <c r="U75" s="18" t="n">
        <v>2.1667</v>
      </c>
      <c r="V75" s="18" t="n">
        <v>0</v>
      </c>
      <c r="W75" s="18" t="n">
        <v>19.3916</v>
      </c>
      <c r="X75" s="19">
        <f>ROUND(INDEX(CCNL!$F$5:$F$12,MATCH(D75,CCNL!$A$5:$A$12,0))*F75,2)</f>
        <v/>
      </c>
      <c r="Y75" s="4">
        <f>(YEAR(Parametri!$C$5)*12+MONTH(Parametri!$C$5))-(YEAR(E75)*12+MONTH(E75))</f>
        <v/>
      </c>
      <c r="Z75" s="4">
        <f>MIN(Parametri!$C$13,MAX(0,INT((Y75-1)/36)))</f>
        <v/>
      </c>
      <c r="AA75" s="19">
        <f>ROUND(INDEX(CCNL!$I$5:$I$12,MATCH(D75,CCNL!$A$5:$A$12,0))*Z75*F75,2)</f>
        <v/>
      </c>
      <c r="AB75" s="19">
        <f>ROUND(N75*Parametri!$C$6,2)</f>
        <v/>
      </c>
      <c r="AC75" s="19">
        <f>ROUND((I75+K75+L75)*Parametri!$C$8/Parametri!$C$7/12,2)</f>
        <v/>
      </c>
      <c r="AD75" s="20">
        <f>IFERROR(INDEX(Agosto!$D$5:$D$173,MATCH(A75,Agosto!$A$5:$A$173,0)),0)</f>
        <v/>
      </c>
      <c r="AE75" s="21">
        <f>ROUND(AD75+ROUND(Parametri!$C$9/12,4)-V75,4)</f>
        <v/>
      </c>
      <c r="AF75" s="19">
        <f>ROUND(I75+K75+L75+M75,2)</f>
        <v/>
      </c>
      <c r="AG75" s="19">
        <f>ROUND(N75-O75-Q75-R75,2)</f>
        <v/>
      </c>
      <c r="AH75" s="22">
        <f>IFERROR(INDEX(Agosto!$C$5:$C$173,MATCH(A75,Agosto!$A$5:$A$173,0)),"")</f>
        <v/>
      </c>
      <c r="AI75" s="23">
        <f>IF(AH75="","",S75/AH75-1)</f>
        <v/>
      </c>
      <c r="AJ75" s="4">
        <f>CHAR(65+MOD(SUMPRODUCT(SUMIF('Codice fiscale'!$A$5:$A$40,MID(C75,{1,3,5,7,9,11,13,15},1),'Codice fiscale'!$B$5:$B$40))+SUMPRODUCT(SUMIF('Codice fiscale'!$A$5:$A$40,MID(C75,{2,4,6,8,10,12,14},1),'Codice fiscale'!$C$5:$C$40)),26))</f>
        <v/>
      </c>
      <c r="AK75" s="4">
        <f>IF(ABS(I75-X75)&gt;Parametri!$C$11,"ERRORE","OK")</f>
        <v/>
      </c>
      <c r="AL75" s="4">
        <f>IF(ABS(K75-AA75)&gt;Parametri!$C$11,"ERRORE","OK")</f>
        <v/>
      </c>
      <c r="AM75" s="4">
        <f>IF(ABS(O75-AB75)&gt;Parametri!$C$11,"ERRORE","OK")</f>
        <v/>
      </c>
      <c r="AN75" s="4">
        <f>IF(ABS(T75-AC75)&gt;Parametri!$C$11,"ERRORE","OK")</f>
        <v/>
      </c>
      <c r="AO75" s="4">
        <f>IF(ABS(W75-AE75)&gt;Parametri!$C$12,"ERRORE","OK")</f>
        <v/>
      </c>
      <c r="AP75" s="4">
        <f>IF(OR(ABS(N75-AF75)&gt;Parametri!$C$11,ABS(S75-AG75)&gt;Parametri!$C$11),"ERRORE","OK")</f>
        <v/>
      </c>
      <c r="AQ75" s="4">
        <f>IF(AI75="","OK",IF(AND(ABS(AI75)&gt;Parametri!$C$10,G75=""),"ERRORE","OK"))</f>
        <v/>
      </c>
      <c r="AR75" s="4">
        <f>IF(AND(LEN(C75)=16,RIGHT(C75,1)=AJ75),"OK","ERRORE")</f>
        <v/>
      </c>
      <c r="AS75" s="12">
        <f>COUNTIF(AK75:AR75,"ERRORE")</f>
        <v/>
      </c>
    </row>
    <row r="76">
      <c r="A76" s="15" t="inlineStr">
        <is>
          <t>B072</t>
        </is>
      </c>
      <c r="B76" s="15" t="inlineStr">
        <is>
          <t>B</t>
        </is>
      </c>
      <c r="C76" s="15" t="inlineStr">
        <is>
          <t>SNSBRG01D50Z118I</t>
        </is>
      </c>
      <c r="D76" s="15" t="inlineStr">
        <is>
          <t>4</t>
        </is>
      </c>
      <c r="E76" s="16" t="n">
        <v>44399</v>
      </c>
      <c r="F76" s="17" t="n">
        <v>1</v>
      </c>
      <c r="G76" s="15" t="inlineStr"/>
      <c r="H76" s="15" t="b">
        <v>0</v>
      </c>
      <c r="I76" s="17" t="n">
        <v>1781.68</v>
      </c>
      <c r="J76" s="15" t="n">
        <v>1</v>
      </c>
      <c r="K76" s="17" t="n">
        <v>20.66</v>
      </c>
      <c r="L76" s="17" t="n">
        <v>150</v>
      </c>
      <c r="M76" s="17" t="n">
        <v>0</v>
      </c>
      <c r="N76" s="17" t="n">
        <v>1952.34</v>
      </c>
      <c r="O76" s="17" t="n">
        <v>179.42</v>
      </c>
      <c r="P76" s="17" t="n">
        <v>1772.92</v>
      </c>
      <c r="Q76" s="17" t="n">
        <v>265.77</v>
      </c>
      <c r="R76" s="17" t="n">
        <v>26.59</v>
      </c>
      <c r="S76" s="17" t="n">
        <v>1480.56</v>
      </c>
      <c r="T76" s="17" t="n">
        <v>168.72</v>
      </c>
      <c r="U76" s="18" t="n">
        <v>2.1667</v>
      </c>
      <c r="V76" s="18" t="n">
        <v>0</v>
      </c>
      <c r="W76" s="18" t="n">
        <v>11.4909</v>
      </c>
      <c r="X76" s="19">
        <f>ROUND(INDEX(CCNL!$F$5:$F$12,MATCH(D76,CCNL!$A$5:$A$12,0))*F76,2)</f>
        <v/>
      </c>
      <c r="Y76" s="4">
        <f>(YEAR(Parametri!$C$5)*12+MONTH(Parametri!$C$5))-(YEAR(E76)*12+MONTH(E76))</f>
        <v/>
      </c>
      <c r="Z76" s="4">
        <f>MIN(Parametri!$C$13,MAX(0,INT((Y76-1)/36)))</f>
        <v/>
      </c>
      <c r="AA76" s="19">
        <f>ROUND(INDEX(CCNL!$I$5:$I$12,MATCH(D76,CCNL!$A$5:$A$12,0))*Z76*F76,2)</f>
        <v/>
      </c>
      <c r="AB76" s="19">
        <f>ROUND(N76*Parametri!$C$6,2)</f>
        <v/>
      </c>
      <c r="AC76" s="19">
        <f>ROUND((I76+K76+L76)*Parametri!$C$8/Parametri!$C$7/12,2)</f>
        <v/>
      </c>
      <c r="AD76" s="20">
        <f>IFERROR(INDEX(Agosto!$D$5:$D$173,MATCH(A76,Agosto!$A$5:$A$173,0)),0)</f>
        <v/>
      </c>
      <c r="AE76" s="21">
        <f>ROUND(AD76+ROUND(Parametri!$C$9/12,4)-V76,4)</f>
        <v/>
      </c>
      <c r="AF76" s="19">
        <f>ROUND(I76+K76+L76+M76,2)</f>
        <v/>
      </c>
      <c r="AG76" s="19">
        <f>ROUND(N76-O76-Q76-R76,2)</f>
        <v/>
      </c>
      <c r="AH76" s="22">
        <f>IFERROR(INDEX(Agosto!$C$5:$C$173,MATCH(A76,Agosto!$A$5:$A$173,0)),"")</f>
        <v/>
      </c>
      <c r="AI76" s="23">
        <f>IF(AH76="","",S76/AH76-1)</f>
        <v/>
      </c>
      <c r="AJ76" s="4">
        <f>CHAR(65+MOD(SUMPRODUCT(SUMIF('Codice fiscale'!$A$5:$A$40,MID(C76,{1,3,5,7,9,11,13,15},1),'Codice fiscale'!$B$5:$B$40))+SUMPRODUCT(SUMIF('Codice fiscale'!$A$5:$A$40,MID(C76,{2,4,6,8,10,12,14},1),'Codice fiscale'!$C$5:$C$40)),26))</f>
        <v/>
      </c>
      <c r="AK76" s="4">
        <f>IF(ABS(I76-X76)&gt;Parametri!$C$11,"ERRORE","OK")</f>
        <v/>
      </c>
      <c r="AL76" s="4">
        <f>IF(ABS(K76-AA76)&gt;Parametri!$C$11,"ERRORE","OK")</f>
        <v/>
      </c>
      <c r="AM76" s="4">
        <f>IF(ABS(O76-AB76)&gt;Parametri!$C$11,"ERRORE","OK")</f>
        <v/>
      </c>
      <c r="AN76" s="4">
        <f>IF(ABS(T76-AC76)&gt;Parametri!$C$11,"ERRORE","OK")</f>
        <v/>
      </c>
      <c r="AO76" s="4">
        <f>IF(ABS(W76-AE76)&gt;Parametri!$C$12,"ERRORE","OK")</f>
        <v/>
      </c>
      <c r="AP76" s="4">
        <f>IF(OR(ABS(N76-AF76)&gt;Parametri!$C$11,ABS(S76-AG76)&gt;Parametri!$C$11),"ERRORE","OK")</f>
        <v/>
      </c>
      <c r="AQ76" s="4">
        <f>IF(AI76="","OK",IF(AND(ABS(AI76)&gt;Parametri!$C$10,G76=""),"ERRORE","OK"))</f>
        <v/>
      </c>
      <c r="AR76" s="4">
        <f>IF(AND(LEN(C76)=16,RIGHT(C76,1)=AJ76),"OK","ERRORE")</f>
        <v/>
      </c>
      <c r="AS76" s="12">
        <f>COUNTIF(AK76:AR76,"ERRORE")</f>
        <v/>
      </c>
    </row>
    <row r="77">
      <c r="A77" s="15" t="inlineStr">
        <is>
          <t>B073</t>
        </is>
      </c>
      <c r="B77" s="15" t="inlineStr">
        <is>
          <t>B</t>
        </is>
      </c>
      <c r="C77" s="15" t="inlineStr">
        <is>
          <t>GVSZRP97E67Z279G</t>
        </is>
      </c>
      <c r="D77" s="15" t="inlineStr">
        <is>
          <t>4</t>
        </is>
      </c>
      <c r="E77" s="16" t="n">
        <v>44674</v>
      </c>
      <c r="F77" s="17" t="n">
        <v>1</v>
      </c>
      <c r="G77" s="15" t="inlineStr"/>
      <c r="H77" s="15" t="b">
        <v>0</v>
      </c>
      <c r="I77" s="17" t="n">
        <v>1781.68</v>
      </c>
      <c r="J77" s="15" t="n">
        <v>1</v>
      </c>
      <c r="K77" s="17" t="n">
        <v>20.66</v>
      </c>
      <c r="L77" s="17" t="n">
        <v>300</v>
      </c>
      <c r="M77" s="17" t="n">
        <v>0</v>
      </c>
      <c r="N77" s="17" t="n">
        <v>2102.34</v>
      </c>
      <c r="O77" s="17" t="n">
        <v>193.21</v>
      </c>
      <c r="P77" s="17" t="n">
        <v>1909.13</v>
      </c>
      <c r="Q77" s="17" t="n">
        <v>302.55</v>
      </c>
      <c r="R77" s="17" t="n">
        <v>28.64</v>
      </c>
      <c r="S77" s="17" t="n">
        <v>1577.94</v>
      </c>
      <c r="T77" s="17" t="n">
        <v>181.68</v>
      </c>
      <c r="U77" s="18" t="n">
        <v>2.1667</v>
      </c>
      <c r="V77" s="18" t="n">
        <v>0</v>
      </c>
      <c r="W77" s="18" t="n">
        <v>21.7927</v>
      </c>
      <c r="X77" s="19">
        <f>ROUND(INDEX(CCNL!$F$5:$F$12,MATCH(D77,CCNL!$A$5:$A$12,0))*F77,2)</f>
        <v/>
      </c>
      <c r="Y77" s="4">
        <f>(YEAR(Parametri!$C$5)*12+MONTH(Parametri!$C$5))-(YEAR(E77)*12+MONTH(E77))</f>
        <v/>
      </c>
      <c r="Z77" s="4">
        <f>MIN(Parametri!$C$13,MAX(0,INT((Y77-1)/36)))</f>
        <v/>
      </c>
      <c r="AA77" s="19">
        <f>ROUND(INDEX(CCNL!$I$5:$I$12,MATCH(D77,CCNL!$A$5:$A$12,0))*Z77*F77,2)</f>
        <v/>
      </c>
      <c r="AB77" s="19">
        <f>ROUND(N77*Parametri!$C$6,2)</f>
        <v/>
      </c>
      <c r="AC77" s="19">
        <f>ROUND((I77+K77+L77)*Parametri!$C$8/Parametri!$C$7/12,2)</f>
        <v/>
      </c>
      <c r="AD77" s="20">
        <f>IFERROR(INDEX(Agosto!$D$5:$D$173,MATCH(A77,Agosto!$A$5:$A$173,0)),0)</f>
        <v/>
      </c>
      <c r="AE77" s="21">
        <f>ROUND(AD77+ROUND(Parametri!$C$9/12,4)-V77,4)</f>
        <v/>
      </c>
      <c r="AF77" s="19">
        <f>ROUND(I77+K77+L77+M77,2)</f>
        <v/>
      </c>
      <c r="AG77" s="19">
        <f>ROUND(N77-O77-Q77-R77,2)</f>
        <v/>
      </c>
      <c r="AH77" s="22">
        <f>IFERROR(INDEX(Agosto!$C$5:$C$173,MATCH(A77,Agosto!$A$5:$A$173,0)),"")</f>
        <v/>
      </c>
      <c r="AI77" s="23">
        <f>IF(AH77="","",S77/AH77-1)</f>
        <v/>
      </c>
      <c r="AJ77" s="4">
        <f>CHAR(65+MOD(SUMPRODUCT(SUMIF('Codice fiscale'!$A$5:$A$40,MID(C77,{1,3,5,7,9,11,13,15},1),'Codice fiscale'!$B$5:$B$40))+SUMPRODUCT(SUMIF('Codice fiscale'!$A$5:$A$40,MID(C77,{2,4,6,8,10,12,14},1),'Codice fiscale'!$C$5:$C$40)),26))</f>
        <v/>
      </c>
      <c r="AK77" s="4">
        <f>IF(ABS(I77-X77)&gt;Parametri!$C$11,"ERRORE","OK")</f>
        <v/>
      </c>
      <c r="AL77" s="4">
        <f>IF(ABS(K77-AA77)&gt;Parametri!$C$11,"ERRORE","OK")</f>
        <v/>
      </c>
      <c r="AM77" s="4">
        <f>IF(ABS(O77-AB77)&gt;Parametri!$C$11,"ERRORE","OK")</f>
        <v/>
      </c>
      <c r="AN77" s="4">
        <f>IF(ABS(T77-AC77)&gt;Parametri!$C$11,"ERRORE","OK")</f>
        <v/>
      </c>
      <c r="AO77" s="4">
        <f>IF(ABS(W77-AE77)&gt;Parametri!$C$12,"ERRORE","OK")</f>
        <v/>
      </c>
      <c r="AP77" s="4">
        <f>IF(OR(ABS(N77-AF77)&gt;Parametri!$C$11,ABS(S77-AG77)&gt;Parametri!$C$11),"ERRORE","OK")</f>
        <v/>
      </c>
      <c r="AQ77" s="4">
        <f>IF(AI77="","OK",IF(AND(ABS(AI77)&gt;Parametri!$C$10,G77=""),"ERRORE","OK"))</f>
        <v/>
      </c>
      <c r="AR77" s="4">
        <f>IF(AND(LEN(C77)=16,RIGHT(C77,1)=AJ77),"OK","ERRORE")</f>
        <v/>
      </c>
      <c r="AS77" s="12">
        <f>COUNTIF(AK77:AR77,"ERRORE")</f>
        <v/>
      </c>
    </row>
    <row r="78">
      <c r="A78" s="15" t="inlineStr">
        <is>
          <t>B074</t>
        </is>
      </c>
      <c r="B78" s="15" t="inlineStr">
        <is>
          <t>B</t>
        </is>
      </c>
      <c r="C78" s="15" t="inlineStr">
        <is>
          <t>ZVFPRM86P48Z282E</t>
        </is>
      </c>
      <c r="D78" s="15" t="inlineStr">
        <is>
          <t>4</t>
        </is>
      </c>
      <c r="E78" s="16" t="n">
        <v>38550</v>
      </c>
      <c r="F78" s="17" t="n">
        <v>1</v>
      </c>
      <c r="G78" s="15" t="inlineStr"/>
      <c r="H78" s="15" t="b">
        <v>0</v>
      </c>
      <c r="I78" s="17" t="n">
        <v>1781.68</v>
      </c>
      <c r="J78" s="15" t="n">
        <v>7</v>
      </c>
      <c r="K78" s="17" t="n">
        <v>144.62</v>
      </c>
      <c r="L78" s="17" t="n">
        <v>120</v>
      </c>
      <c r="M78" s="17" t="n">
        <v>0</v>
      </c>
      <c r="N78" s="17" t="n">
        <v>2046.3</v>
      </c>
      <c r="O78" s="17" t="n">
        <v>188.05</v>
      </c>
      <c r="P78" s="17" t="n">
        <v>1858.25</v>
      </c>
      <c r="Q78" s="17" t="n">
        <v>288.81</v>
      </c>
      <c r="R78" s="17" t="n">
        <v>27.87</v>
      </c>
      <c r="S78" s="17" t="n">
        <v>1541.57</v>
      </c>
      <c r="T78" s="17" t="n">
        <v>176.84</v>
      </c>
      <c r="U78" s="18" t="n">
        <v>2.1667</v>
      </c>
      <c r="V78" s="18" t="n">
        <v>1</v>
      </c>
      <c r="W78" s="18" t="n">
        <v>8.290699999999999</v>
      </c>
      <c r="X78" s="19">
        <f>ROUND(INDEX(CCNL!$F$5:$F$12,MATCH(D78,CCNL!$A$5:$A$12,0))*F78,2)</f>
        <v/>
      </c>
      <c r="Y78" s="4">
        <f>(YEAR(Parametri!$C$5)*12+MONTH(Parametri!$C$5))-(YEAR(E78)*12+MONTH(E78))</f>
        <v/>
      </c>
      <c r="Z78" s="4">
        <f>MIN(Parametri!$C$13,MAX(0,INT((Y78-1)/36)))</f>
        <v/>
      </c>
      <c r="AA78" s="19">
        <f>ROUND(INDEX(CCNL!$I$5:$I$12,MATCH(D78,CCNL!$A$5:$A$12,0))*Z78*F78,2)</f>
        <v/>
      </c>
      <c r="AB78" s="19">
        <f>ROUND(N78*Parametri!$C$6,2)</f>
        <v/>
      </c>
      <c r="AC78" s="19">
        <f>ROUND((I78+K78+L78)*Parametri!$C$8/Parametri!$C$7/12,2)</f>
        <v/>
      </c>
      <c r="AD78" s="20">
        <f>IFERROR(INDEX(Agosto!$D$5:$D$173,MATCH(A78,Agosto!$A$5:$A$173,0)),0)</f>
        <v/>
      </c>
      <c r="AE78" s="21">
        <f>ROUND(AD78+ROUND(Parametri!$C$9/12,4)-V78,4)</f>
        <v/>
      </c>
      <c r="AF78" s="19">
        <f>ROUND(I78+K78+L78+M78,2)</f>
        <v/>
      </c>
      <c r="AG78" s="19">
        <f>ROUND(N78-O78-Q78-R78,2)</f>
        <v/>
      </c>
      <c r="AH78" s="22">
        <f>IFERROR(INDEX(Agosto!$C$5:$C$173,MATCH(A78,Agosto!$A$5:$A$173,0)),"")</f>
        <v/>
      </c>
      <c r="AI78" s="23">
        <f>IF(AH78="","",S78/AH78-1)</f>
        <v/>
      </c>
      <c r="AJ78" s="4">
        <f>CHAR(65+MOD(SUMPRODUCT(SUMIF('Codice fiscale'!$A$5:$A$40,MID(C78,{1,3,5,7,9,11,13,15},1),'Codice fiscale'!$B$5:$B$40))+SUMPRODUCT(SUMIF('Codice fiscale'!$A$5:$A$40,MID(C78,{2,4,6,8,10,12,14},1),'Codice fiscale'!$C$5:$C$40)),26))</f>
        <v/>
      </c>
      <c r="AK78" s="4">
        <f>IF(ABS(I78-X78)&gt;Parametri!$C$11,"ERRORE","OK")</f>
        <v/>
      </c>
      <c r="AL78" s="4">
        <f>IF(ABS(K78-AA78)&gt;Parametri!$C$11,"ERRORE","OK")</f>
        <v/>
      </c>
      <c r="AM78" s="4">
        <f>IF(ABS(O78-AB78)&gt;Parametri!$C$11,"ERRORE","OK")</f>
        <v/>
      </c>
      <c r="AN78" s="4">
        <f>IF(ABS(T78-AC78)&gt;Parametri!$C$11,"ERRORE","OK")</f>
        <v/>
      </c>
      <c r="AO78" s="4">
        <f>IF(ABS(W78-AE78)&gt;Parametri!$C$12,"ERRORE","OK")</f>
        <v/>
      </c>
      <c r="AP78" s="4">
        <f>IF(OR(ABS(N78-AF78)&gt;Parametri!$C$11,ABS(S78-AG78)&gt;Parametri!$C$11),"ERRORE","OK")</f>
        <v/>
      </c>
      <c r="AQ78" s="4">
        <f>IF(AI78="","OK",IF(AND(ABS(AI78)&gt;Parametri!$C$10,G78=""),"ERRORE","OK"))</f>
        <v/>
      </c>
      <c r="AR78" s="4">
        <f>IF(AND(LEN(C78)=16,RIGHT(C78,1)=AJ78),"OK","ERRORE")</f>
        <v/>
      </c>
      <c r="AS78" s="12">
        <f>COUNTIF(AK78:AR78,"ERRORE")</f>
        <v/>
      </c>
    </row>
    <row r="79">
      <c r="A79" s="15" t="inlineStr">
        <is>
          <t>B075</t>
        </is>
      </c>
      <c r="B79" s="15" t="inlineStr">
        <is>
          <t>B</t>
        </is>
      </c>
      <c r="C79" s="15" t="inlineStr">
        <is>
          <t>MPFLBP63B08Z143P</t>
        </is>
      </c>
      <c r="D79" s="15" t="inlineStr">
        <is>
          <t>4</t>
        </is>
      </c>
      <c r="E79" s="16" t="n">
        <v>39523</v>
      </c>
      <c r="F79" s="17" t="n">
        <v>1</v>
      </c>
      <c r="G79" s="15" t="inlineStr"/>
      <c r="H79" s="15" t="b">
        <v>0</v>
      </c>
      <c r="I79" s="17" t="n">
        <v>1781.68</v>
      </c>
      <c r="J79" s="15" t="n">
        <v>6</v>
      </c>
      <c r="K79" s="17" t="n">
        <v>123.96</v>
      </c>
      <c r="L79" s="17" t="n">
        <v>0</v>
      </c>
      <c r="M79" s="17" t="n">
        <v>0</v>
      </c>
      <c r="N79" s="17" t="n">
        <v>1905.64</v>
      </c>
      <c r="O79" s="17" t="n">
        <v>175.13</v>
      </c>
      <c r="P79" s="17" t="n">
        <v>1730.51</v>
      </c>
      <c r="Q79" s="17" t="n">
        <v>254.32</v>
      </c>
      <c r="R79" s="17" t="n">
        <v>25.96</v>
      </c>
      <c r="S79" s="17" t="n">
        <v>1450.23</v>
      </c>
      <c r="T79" s="17" t="n">
        <v>164.68</v>
      </c>
      <c r="U79" s="18" t="n">
        <v>2.1667</v>
      </c>
      <c r="V79" s="18" t="n">
        <v>0</v>
      </c>
      <c r="W79" s="18" t="n">
        <v>14.2393</v>
      </c>
      <c r="X79" s="19">
        <f>ROUND(INDEX(CCNL!$F$5:$F$12,MATCH(D79,CCNL!$A$5:$A$12,0))*F79,2)</f>
        <v/>
      </c>
      <c r="Y79" s="4">
        <f>(YEAR(Parametri!$C$5)*12+MONTH(Parametri!$C$5))-(YEAR(E79)*12+MONTH(E79))</f>
        <v/>
      </c>
      <c r="Z79" s="4">
        <f>MIN(Parametri!$C$13,MAX(0,INT((Y79-1)/36)))</f>
        <v/>
      </c>
      <c r="AA79" s="19">
        <f>ROUND(INDEX(CCNL!$I$5:$I$12,MATCH(D79,CCNL!$A$5:$A$12,0))*Z79*F79,2)</f>
        <v/>
      </c>
      <c r="AB79" s="19">
        <f>ROUND(N79*Parametri!$C$6,2)</f>
        <v/>
      </c>
      <c r="AC79" s="19">
        <f>ROUND((I79+K79+L79)*Parametri!$C$8/Parametri!$C$7/12,2)</f>
        <v/>
      </c>
      <c r="AD79" s="20">
        <f>IFERROR(INDEX(Agosto!$D$5:$D$173,MATCH(A79,Agosto!$A$5:$A$173,0)),0)</f>
        <v/>
      </c>
      <c r="AE79" s="21">
        <f>ROUND(AD79+ROUND(Parametri!$C$9/12,4)-V79,4)</f>
        <v/>
      </c>
      <c r="AF79" s="19">
        <f>ROUND(I79+K79+L79+M79,2)</f>
        <v/>
      </c>
      <c r="AG79" s="19">
        <f>ROUND(N79-O79-Q79-R79,2)</f>
        <v/>
      </c>
      <c r="AH79" s="22">
        <f>IFERROR(INDEX(Agosto!$C$5:$C$173,MATCH(A79,Agosto!$A$5:$A$173,0)),"")</f>
        <v/>
      </c>
      <c r="AI79" s="23">
        <f>IF(AH79="","",S79/AH79-1)</f>
        <v/>
      </c>
      <c r="AJ79" s="4">
        <f>CHAR(65+MOD(SUMPRODUCT(SUMIF('Codice fiscale'!$A$5:$A$40,MID(C79,{1,3,5,7,9,11,13,15},1),'Codice fiscale'!$B$5:$B$40))+SUMPRODUCT(SUMIF('Codice fiscale'!$A$5:$A$40,MID(C79,{2,4,6,8,10,12,14},1),'Codice fiscale'!$C$5:$C$40)),26))</f>
        <v/>
      </c>
      <c r="AK79" s="4">
        <f>IF(ABS(I79-X79)&gt;Parametri!$C$11,"ERRORE","OK")</f>
        <v/>
      </c>
      <c r="AL79" s="4">
        <f>IF(ABS(K79-AA79)&gt;Parametri!$C$11,"ERRORE","OK")</f>
        <v/>
      </c>
      <c r="AM79" s="4">
        <f>IF(ABS(O79-AB79)&gt;Parametri!$C$11,"ERRORE","OK")</f>
        <v/>
      </c>
      <c r="AN79" s="4">
        <f>IF(ABS(T79-AC79)&gt;Parametri!$C$11,"ERRORE","OK")</f>
        <v/>
      </c>
      <c r="AO79" s="4">
        <f>IF(ABS(W79-AE79)&gt;Parametri!$C$12,"ERRORE","OK")</f>
        <v/>
      </c>
      <c r="AP79" s="4">
        <f>IF(OR(ABS(N79-AF79)&gt;Parametri!$C$11,ABS(S79-AG79)&gt;Parametri!$C$11),"ERRORE","OK")</f>
        <v/>
      </c>
      <c r="AQ79" s="4">
        <f>IF(AI79="","OK",IF(AND(ABS(AI79)&gt;Parametri!$C$10,G79=""),"ERRORE","OK"))</f>
        <v/>
      </c>
      <c r="AR79" s="4">
        <f>IF(AND(LEN(C79)=16,RIGHT(C79,1)=AJ79),"OK","ERRORE")</f>
        <v/>
      </c>
      <c r="AS79" s="12">
        <f>COUNTIF(AK79:AR79,"ERRORE")</f>
        <v/>
      </c>
    </row>
    <row r="80">
      <c r="A80" s="15" t="inlineStr">
        <is>
          <t>B076</t>
        </is>
      </c>
      <c r="B80" s="15" t="inlineStr">
        <is>
          <t>B</t>
        </is>
      </c>
      <c r="C80" s="15" t="inlineStr">
        <is>
          <t>MFLGBC87B55Z133K</t>
        </is>
      </c>
      <c r="D80" s="15" t="inlineStr">
        <is>
          <t>4</t>
        </is>
      </c>
      <c r="E80" s="16" t="n">
        <v>45829</v>
      </c>
      <c r="F80" s="17" t="n">
        <v>0.75</v>
      </c>
      <c r="G80" s="15" t="inlineStr"/>
      <c r="H80" s="15" t="b">
        <v>0</v>
      </c>
      <c r="I80" s="17" t="n">
        <v>1336.26</v>
      </c>
      <c r="J80" s="15" t="n">
        <v>0</v>
      </c>
      <c r="K80" s="17" t="n">
        <v>0</v>
      </c>
      <c r="L80" s="17" t="n">
        <v>0</v>
      </c>
      <c r="M80" s="17" t="n">
        <v>0</v>
      </c>
      <c r="N80" s="17" t="n">
        <v>1336.26</v>
      </c>
      <c r="O80" s="17" t="n">
        <v>122.8</v>
      </c>
      <c r="P80" s="17" t="n">
        <v>1213.46</v>
      </c>
      <c r="Q80" s="17" t="n">
        <v>116.18</v>
      </c>
      <c r="R80" s="17" t="n">
        <v>18.2</v>
      </c>
      <c r="S80" s="17" t="n">
        <v>1079.08</v>
      </c>
      <c r="T80" s="17" t="n">
        <v>115.48</v>
      </c>
      <c r="U80" s="18" t="n">
        <v>2.1667</v>
      </c>
      <c r="V80" s="18" t="n">
        <v>2</v>
      </c>
      <c r="W80" s="18" t="n">
        <v>2.4694</v>
      </c>
      <c r="X80" s="19">
        <f>ROUND(INDEX(CCNL!$F$5:$F$12,MATCH(D80,CCNL!$A$5:$A$12,0))*F80,2)</f>
        <v/>
      </c>
      <c r="Y80" s="4">
        <f>(YEAR(Parametri!$C$5)*12+MONTH(Parametri!$C$5))-(YEAR(E80)*12+MONTH(E80))</f>
        <v/>
      </c>
      <c r="Z80" s="4">
        <f>MIN(Parametri!$C$13,MAX(0,INT((Y80-1)/36)))</f>
        <v/>
      </c>
      <c r="AA80" s="19">
        <f>ROUND(INDEX(CCNL!$I$5:$I$12,MATCH(D80,CCNL!$A$5:$A$12,0))*Z80*F80,2)</f>
        <v/>
      </c>
      <c r="AB80" s="19">
        <f>ROUND(N80*Parametri!$C$6,2)</f>
        <v/>
      </c>
      <c r="AC80" s="19">
        <f>ROUND((I80+K80+L80)*Parametri!$C$8/Parametri!$C$7/12,2)</f>
        <v/>
      </c>
      <c r="AD80" s="20">
        <f>IFERROR(INDEX(Agosto!$D$5:$D$173,MATCH(A80,Agosto!$A$5:$A$173,0)),0)</f>
        <v/>
      </c>
      <c r="AE80" s="21">
        <f>ROUND(AD80+ROUND(Parametri!$C$9/12,4)-V80,4)</f>
        <v/>
      </c>
      <c r="AF80" s="19">
        <f>ROUND(I80+K80+L80+M80,2)</f>
        <v/>
      </c>
      <c r="AG80" s="19">
        <f>ROUND(N80-O80-Q80-R80,2)</f>
        <v/>
      </c>
      <c r="AH80" s="22">
        <f>IFERROR(INDEX(Agosto!$C$5:$C$173,MATCH(A80,Agosto!$A$5:$A$173,0)),"")</f>
        <v/>
      </c>
      <c r="AI80" s="23">
        <f>IF(AH80="","",S80/AH80-1)</f>
        <v/>
      </c>
      <c r="AJ80" s="4">
        <f>CHAR(65+MOD(SUMPRODUCT(SUMIF('Codice fiscale'!$A$5:$A$40,MID(C80,{1,3,5,7,9,11,13,15},1),'Codice fiscale'!$B$5:$B$40))+SUMPRODUCT(SUMIF('Codice fiscale'!$A$5:$A$40,MID(C80,{2,4,6,8,10,12,14},1),'Codice fiscale'!$C$5:$C$40)),26))</f>
        <v/>
      </c>
      <c r="AK80" s="4">
        <f>IF(ABS(I80-X80)&gt;Parametri!$C$11,"ERRORE","OK")</f>
        <v/>
      </c>
      <c r="AL80" s="4">
        <f>IF(ABS(K80-AA80)&gt;Parametri!$C$11,"ERRORE","OK")</f>
        <v/>
      </c>
      <c r="AM80" s="4">
        <f>IF(ABS(O80-AB80)&gt;Parametri!$C$11,"ERRORE","OK")</f>
        <v/>
      </c>
      <c r="AN80" s="4">
        <f>IF(ABS(T80-AC80)&gt;Parametri!$C$11,"ERRORE","OK")</f>
        <v/>
      </c>
      <c r="AO80" s="4">
        <f>IF(ABS(W80-AE80)&gt;Parametri!$C$12,"ERRORE","OK")</f>
        <v/>
      </c>
      <c r="AP80" s="4">
        <f>IF(OR(ABS(N80-AF80)&gt;Parametri!$C$11,ABS(S80-AG80)&gt;Parametri!$C$11),"ERRORE","OK")</f>
        <v/>
      </c>
      <c r="AQ80" s="4">
        <f>IF(AI80="","OK",IF(AND(ABS(AI80)&gt;Parametri!$C$10,G80=""),"ERRORE","OK"))</f>
        <v/>
      </c>
      <c r="AR80" s="4">
        <f>IF(AND(LEN(C80)=16,RIGHT(C80,1)=AJ80),"OK","ERRORE")</f>
        <v/>
      </c>
      <c r="AS80" s="12">
        <f>COUNTIF(AK80:AR80,"ERRORE")</f>
        <v/>
      </c>
    </row>
    <row r="81">
      <c r="A81" s="15" t="inlineStr">
        <is>
          <t>B077</t>
        </is>
      </c>
      <c r="B81" s="15" t="inlineStr">
        <is>
          <t>B</t>
        </is>
      </c>
      <c r="C81" s="15" t="inlineStr">
        <is>
          <t>ZNLRDC91S14Z144S</t>
        </is>
      </c>
      <c r="D81" s="15" t="inlineStr">
        <is>
          <t>5</t>
        </is>
      </c>
      <c r="E81" s="16" t="n">
        <v>41582</v>
      </c>
      <c r="F81" s="17" t="n">
        <v>0.5</v>
      </c>
      <c r="G81" s="15" t="inlineStr">
        <is>
          <t>variazione part-time</t>
        </is>
      </c>
      <c r="H81" s="15" t="b">
        <v>1</v>
      </c>
      <c r="I81" s="17" t="n">
        <v>829.01</v>
      </c>
      <c r="J81" s="15" t="n">
        <v>4</v>
      </c>
      <c r="K81" s="17" t="n">
        <v>40.6</v>
      </c>
      <c r="L81" s="17" t="n">
        <v>150</v>
      </c>
      <c r="M81" s="17" t="n">
        <v>0</v>
      </c>
      <c r="N81" s="17" t="n">
        <v>1019.61</v>
      </c>
      <c r="O81" s="17" t="n">
        <v>93.7</v>
      </c>
      <c r="P81" s="17" t="n">
        <v>925.91</v>
      </c>
      <c r="Q81" s="17" t="n">
        <v>50.04</v>
      </c>
      <c r="R81" s="17" t="n">
        <v>13.89</v>
      </c>
      <c r="S81" s="17" t="n">
        <v>861.98</v>
      </c>
      <c r="T81" s="17" t="n">
        <v>88.11</v>
      </c>
      <c r="U81" s="18" t="n">
        <v>2.1667</v>
      </c>
      <c r="V81" s="18" t="n">
        <v>0</v>
      </c>
      <c r="W81" s="18" t="n">
        <v>11.9704</v>
      </c>
      <c r="X81" s="19">
        <f>ROUND(INDEX(CCNL!$F$5:$F$12,MATCH(D81,CCNL!$A$5:$A$12,0))*F81,2)</f>
        <v/>
      </c>
      <c r="Y81" s="4">
        <f>(YEAR(Parametri!$C$5)*12+MONTH(Parametri!$C$5))-(YEAR(E81)*12+MONTH(E81))</f>
        <v/>
      </c>
      <c r="Z81" s="4">
        <f>MIN(Parametri!$C$13,MAX(0,INT((Y81-1)/36)))</f>
        <v/>
      </c>
      <c r="AA81" s="19">
        <f>ROUND(INDEX(CCNL!$I$5:$I$12,MATCH(D81,CCNL!$A$5:$A$12,0))*Z81*F81,2)</f>
        <v/>
      </c>
      <c r="AB81" s="19">
        <f>ROUND(N81*Parametri!$C$6,2)</f>
        <v/>
      </c>
      <c r="AC81" s="19">
        <f>ROUND((I81+K81+L81)*Parametri!$C$8/Parametri!$C$7/12,2)</f>
        <v/>
      </c>
      <c r="AD81" s="20">
        <f>IFERROR(INDEX(Agosto!$D$5:$D$173,MATCH(A81,Agosto!$A$5:$A$173,0)),0)</f>
        <v/>
      </c>
      <c r="AE81" s="21">
        <f>ROUND(AD81+ROUND(Parametri!$C$9/12,4)-V81,4)</f>
        <v/>
      </c>
      <c r="AF81" s="19">
        <f>ROUND(I81+K81+L81+M81,2)</f>
        <v/>
      </c>
      <c r="AG81" s="19">
        <f>ROUND(N81-O81-Q81-R81,2)</f>
        <v/>
      </c>
      <c r="AH81" s="22">
        <f>IFERROR(INDEX(Agosto!$C$5:$C$173,MATCH(A81,Agosto!$A$5:$A$173,0)),"")</f>
        <v/>
      </c>
      <c r="AI81" s="23">
        <f>IF(AH81="","",S81/AH81-1)</f>
        <v/>
      </c>
      <c r="AJ81" s="4">
        <f>CHAR(65+MOD(SUMPRODUCT(SUMIF('Codice fiscale'!$A$5:$A$40,MID(C81,{1,3,5,7,9,11,13,15},1),'Codice fiscale'!$B$5:$B$40))+SUMPRODUCT(SUMIF('Codice fiscale'!$A$5:$A$40,MID(C81,{2,4,6,8,10,12,14},1),'Codice fiscale'!$C$5:$C$40)),26))</f>
        <v/>
      </c>
      <c r="AK81" s="4">
        <f>IF(ABS(I81-X81)&gt;Parametri!$C$11,"ERRORE","OK")</f>
        <v/>
      </c>
      <c r="AL81" s="4">
        <f>IF(ABS(K81-AA81)&gt;Parametri!$C$11,"ERRORE","OK")</f>
        <v/>
      </c>
      <c r="AM81" s="4">
        <f>IF(ABS(O81-AB81)&gt;Parametri!$C$11,"ERRORE","OK")</f>
        <v/>
      </c>
      <c r="AN81" s="4">
        <f>IF(ABS(T81-AC81)&gt;Parametri!$C$11,"ERRORE","OK")</f>
        <v/>
      </c>
      <c r="AO81" s="4">
        <f>IF(ABS(W81-AE81)&gt;Parametri!$C$12,"ERRORE","OK")</f>
        <v/>
      </c>
      <c r="AP81" s="4">
        <f>IF(OR(ABS(N81-AF81)&gt;Parametri!$C$11,ABS(S81-AG81)&gt;Parametri!$C$11),"ERRORE","OK")</f>
        <v/>
      </c>
      <c r="AQ81" s="4">
        <f>IF(AI81="","OK",IF(AND(ABS(AI81)&gt;Parametri!$C$10,G81=""),"ERRORE","OK"))</f>
        <v/>
      </c>
      <c r="AR81" s="4">
        <f>IF(AND(LEN(C81)=16,RIGHT(C81,1)=AJ81),"OK","ERRORE")</f>
        <v/>
      </c>
      <c r="AS81" s="12">
        <f>COUNTIF(AK81:AR81,"ERRORE")</f>
        <v/>
      </c>
    </row>
    <row r="82">
      <c r="A82" s="15" t="inlineStr">
        <is>
          <t>B078</t>
        </is>
      </c>
      <c r="B82" s="15" t="inlineStr">
        <is>
          <t>B</t>
        </is>
      </c>
      <c r="C82" s="15" t="inlineStr">
        <is>
          <t>MCNNBN91B58Z343Z</t>
        </is>
      </c>
      <c r="D82" s="15" t="inlineStr">
        <is>
          <t>1</t>
        </is>
      </c>
      <c r="E82" s="16" t="n">
        <v>44988</v>
      </c>
      <c r="F82" s="17" t="n">
        <v>1</v>
      </c>
      <c r="G82" s="15" t="inlineStr"/>
      <c r="H82" s="15" t="b">
        <v>1</v>
      </c>
      <c r="I82" s="17" t="n">
        <v>2504.07</v>
      </c>
      <c r="J82" s="15" t="n">
        <v>1</v>
      </c>
      <c r="K82" s="17" t="n">
        <v>24.84</v>
      </c>
      <c r="L82" s="17" t="n">
        <v>200</v>
      </c>
      <c r="M82" s="17" t="n">
        <v>0</v>
      </c>
      <c r="N82" s="17" t="n">
        <v>2728.91</v>
      </c>
      <c r="O82" s="17" t="n">
        <v>250.79</v>
      </c>
      <c r="P82" s="17" t="n">
        <v>2478.12</v>
      </c>
      <c r="Q82" s="17" t="n">
        <v>470.65</v>
      </c>
      <c r="R82" s="17" t="n">
        <v>37.17</v>
      </c>
      <c r="S82" s="17" t="n">
        <v>1970.3</v>
      </c>
      <c r="T82" s="17" t="n">
        <v>235.83</v>
      </c>
      <c r="U82" s="18" t="n">
        <v>2.1667</v>
      </c>
      <c r="V82" s="18" t="n">
        <v>1</v>
      </c>
      <c r="W82" s="18" t="n">
        <v>13.3629</v>
      </c>
      <c r="X82" s="19">
        <f>ROUND(INDEX(CCNL!$F$5:$F$12,MATCH(D82,CCNL!$A$5:$A$12,0))*F82,2)</f>
        <v/>
      </c>
      <c r="Y82" s="4">
        <f>(YEAR(Parametri!$C$5)*12+MONTH(Parametri!$C$5))-(YEAR(E82)*12+MONTH(E82))</f>
        <v/>
      </c>
      <c r="Z82" s="4">
        <f>MIN(Parametri!$C$13,MAX(0,INT((Y82-1)/36)))</f>
        <v/>
      </c>
      <c r="AA82" s="19">
        <f>ROUND(INDEX(CCNL!$I$5:$I$12,MATCH(D82,CCNL!$A$5:$A$12,0))*Z82*F82,2)</f>
        <v/>
      </c>
      <c r="AB82" s="19">
        <f>ROUND(N82*Parametri!$C$6,2)</f>
        <v/>
      </c>
      <c r="AC82" s="19">
        <f>ROUND((I82+K82+L82)*Parametri!$C$8/Parametri!$C$7/12,2)</f>
        <v/>
      </c>
      <c r="AD82" s="20">
        <f>IFERROR(INDEX(Agosto!$D$5:$D$173,MATCH(A82,Agosto!$A$5:$A$173,0)),0)</f>
        <v/>
      </c>
      <c r="AE82" s="21">
        <f>ROUND(AD82+ROUND(Parametri!$C$9/12,4)-V82,4)</f>
        <v/>
      </c>
      <c r="AF82" s="19">
        <f>ROUND(I82+K82+L82+M82,2)</f>
        <v/>
      </c>
      <c r="AG82" s="19">
        <f>ROUND(N82-O82-Q82-R82,2)</f>
        <v/>
      </c>
      <c r="AH82" s="22">
        <f>IFERROR(INDEX(Agosto!$C$5:$C$173,MATCH(A82,Agosto!$A$5:$A$173,0)),"")</f>
        <v/>
      </c>
      <c r="AI82" s="23">
        <f>IF(AH82="","",S82/AH82-1)</f>
        <v/>
      </c>
      <c r="AJ82" s="4">
        <f>CHAR(65+MOD(SUMPRODUCT(SUMIF('Codice fiscale'!$A$5:$A$40,MID(C82,{1,3,5,7,9,11,13,15},1),'Codice fiscale'!$B$5:$B$40))+SUMPRODUCT(SUMIF('Codice fiscale'!$A$5:$A$40,MID(C82,{2,4,6,8,10,12,14},1),'Codice fiscale'!$C$5:$C$40)),26))</f>
        <v/>
      </c>
      <c r="AK82" s="4">
        <f>IF(ABS(I82-X82)&gt;Parametri!$C$11,"ERRORE","OK")</f>
        <v/>
      </c>
      <c r="AL82" s="4">
        <f>IF(ABS(K82-AA82)&gt;Parametri!$C$11,"ERRORE","OK")</f>
        <v/>
      </c>
      <c r="AM82" s="4">
        <f>IF(ABS(O82-AB82)&gt;Parametri!$C$11,"ERRORE","OK")</f>
        <v/>
      </c>
      <c r="AN82" s="4">
        <f>IF(ABS(T82-AC82)&gt;Parametri!$C$11,"ERRORE","OK")</f>
        <v/>
      </c>
      <c r="AO82" s="4">
        <f>IF(ABS(W82-AE82)&gt;Parametri!$C$12,"ERRORE","OK")</f>
        <v/>
      </c>
      <c r="AP82" s="4">
        <f>IF(OR(ABS(N82-AF82)&gt;Parametri!$C$11,ABS(S82-AG82)&gt;Parametri!$C$11),"ERRORE","OK")</f>
        <v/>
      </c>
      <c r="AQ82" s="4">
        <f>IF(AI82="","OK",IF(AND(ABS(AI82)&gt;Parametri!$C$10,G82=""),"ERRORE","OK"))</f>
        <v/>
      </c>
      <c r="AR82" s="4">
        <f>IF(AND(LEN(C82)=16,RIGHT(C82,1)=AJ82),"OK","ERRORE")</f>
        <v/>
      </c>
      <c r="AS82" s="12">
        <f>COUNTIF(AK82:AR82,"ERRORE")</f>
        <v/>
      </c>
    </row>
    <row r="83">
      <c r="A83" s="15" t="inlineStr">
        <is>
          <t>B079</t>
        </is>
      </c>
      <c r="B83" s="15" t="inlineStr">
        <is>
          <t>B</t>
        </is>
      </c>
      <c r="C83" s="15" t="inlineStr">
        <is>
          <t>MCLDBZ65L46Z172C</t>
        </is>
      </c>
      <c r="D83" s="15" t="inlineStr">
        <is>
          <t>3</t>
        </is>
      </c>
      <c r="E83" s="16" t="n">
        <v>44868</v>
      </c>
      <c r="F83" s="17" t="n">
        <v>1</v>
      </c>
      <c r="G83" s="15" t="inlineStr"/>
      <c r="H83" s="15" t="b">
        <v>1</v>
      </c>
      <c r="I83" s="17" t="n">
        <v>1981.84</v>
      </c>
      <c r="J83" s="15" t="n">
        <v>1</v>
      </c>
      <c r="K83" s="17" t="n">
        <v>21.95</v>
      </c>
      <c r="L83" s="17" t="n">
        <v>50</v>
      </c>
      <c r="M83" s="17" t="n">
        <v>0</v>
      </c>
      <c r="N83" s="17" t="n">
        <v>2053.79</v>
      </c>
      <c r="O83" s="17" t="n">
        <v>188.74</v>
      </c>
      <c r="P83" s="17" t="n">
        <v>1865.05</v>
      </c>
      <c r="Q83" s="17" t="n">
        <v>290.65</v>
      </c>
      <c r="R83" s="17" t="n">
        <v>27.98</v>
      </c>
      <c r="S83" s="17" t="n">
        <v>1546.42</v>
      </c>
      <c r="T83" s="17" t="n">
        <v>177.49</v>
      </c>
      <c r="U83" s="18" t="n">
        <v>2.1667</v>
      </c>
      <c r="V83" s="18" t="n">
        <v>1</v>
      </c>
      <c r="W83" s="18" t="n">
        <v>13.0325</v>
      </c>
      <c r="X83" s="19">
        <f>ROUND(INDEX(CCNL!$F$5:$F$12,MATCH(D83,CCNL!$A$5:$A$12,0))*F83,2)</f>
        <v/>
      </c>
      <c r="Y83" s="4">
        <f>(YEAR(Parametri!$C$5)*12+MONTH(Parametri!$C$5))-(YEAR(E83)*12+MONTH(E83))</f>
        <v/>
      </c>
      <c r="Z83" s="4">
        <f>MIN(Parametri!$C$13,MAX(0,INT((Y83-1)/36)))</f>
        <v/>
      </c>
      <c r="AA83" s="19">
        <f>ROUND(INDEX(CCNL!$I$5:$I$12,MATCH(D83,CCNL!$A$5:$A$12,0))*Z83*F83,2)</f>
        <v/>
      </c>
      <c r="AB83" s="19">
        <f>ROUND(N83*Parametri!$C$6,2)</f>
        <v/>
      </c>
      <c r="AC83" s="19">
        <f>ROUND((I83+K83+L83)*Parametri!$C$8/Parametri!$C$7/12,2)</f>
        <v/>
      </c>
      <c r="AD83" s="20">
        <f>IFERROR(INDEX(Agosto!$D$5:$D$173,MATCH(A83,Agosto!$A$5:$A$173,0)),0)</f>
        <v/>
      </c>
      <c r="AE83" s="21">
        <f>ROUND(AD83+ROUND(Parametri!$C$9/12,4)-V83,4)</f>
        <v/>
      </c>
      <c r="AF83" s="19">
        <f>ROUND(I83+K83+L83+M83,2)</f>
        <v/>
      </c>
      <c r="AG83" s="19">
        <f>ROUND(N83-O83-Q83-R83,2)</f>
        <v/>
      </c>
      <c r="AH83" s="22">
        <f>IFERROR(INDEX(Agosto!$C$5:$C$173,MATCH(A83,Agosto!$A$5:$A$173,0)),"")</f>
        <v/>
      </c>
      <c r="AI83" s="23">
        <f>IF(AH83="","",S83/AH83-1)</f>
        <v/>
      </c>
      <c r="AJ83" s="4">
        <f>CHAR(65+MOD(SUMPRODUCT(SUMIF('Codice fiscale'!$A$5:$A$40,MID(C83,{1,3,5,7,9,11,13,15},1),'Codice fiscale'!$B$5:$B$40))+SUMPRODUCT(SUMIF('Codice fiscale'!$A$5:$A$40,MID(C83,{2,4,6,8,10,12,14},1),'Codice fiscale'!$C$5:$C$40)),26))</f>
        <v/>
      </c>
      <c r="AK83" s="4">
        <f>IF(ABS(I83-X83)&gt;Parametri!$C$11,"ERRORE","OK")</f>
        <v/>
      </c>
      <c r="AL83" s="4">
        <f>IF(ABS(K83-AA83)&gt;Parametri!$C$11,"ERRORE","OK")</f>
        <v/>
      </c>
      <c r="AM83" s="4">
        <f>IF(ABS(O83-AB83)&gt;Parametri!$C$11,"ERRORE","OK")</f>
        <v/>
      </c>
      <c r="AN83" s="4">
        <f>IF(ABS(T83-AC83)&gt;Parametri!$C$11,"ERRORE","OK")</f>
        <v/>
      </c>
      <c r="AO83" s="4">
        <f>IF(ABS(W83-AE83)&gt;Parametri!$C$12,"ERRORE","OK")</f>
        <v/>
      </c>
      <c r="AP83" s="4">
        <f>IF(OR(ABS(N83-AF83)&gt;Parametri!$C$11,ABS(S83-AG83)&gt;Parametri!$C$11),"ERRORE","OK")</f>
        <v/>
      </c>
      <c r="AQ83" s="4">
        <f>IF(AI83="","OK",IF(AND(ABS(AI83)&gt;Parametri!$C$10,G83=""),"ERRORE","OK"))</f>
        <v/>
      </c>
      <c r="AR83" s="4">
        <f>IF(AND(LEN(C83)=16,RIGHT(C83,1)=AJ83),"OK","ERRORE")</f>
        <v/>
      </c>
      <c r="AS83" s="12">
        <f>COUNTIF(AK83:AR83,"ERRORE")</f>
        <v/>
      </c>
    </row>
    <row r="84">
      <c r="A84" s="15" t="inlineStr">
        <is>
          <t>B080</t>
        </is>
      </c>
      <c r="B84" s="15" t="inlineStr">
        <is>
          <t>B</t>
        </is>
      </c>
      <c r="C84" s="15" t="inlineStr">
        <is>
          <t>SCRVRG78L26Z263Q</t>
        </is>
      </c>
      <c r="D84" s="15" t="inlineStr">
        <is>
          <t>4</t>
        </is>
      </c>
      <c r="E84" s="16" t="n">
        <v>36868</v>
      </c>
      <c r="F84" s="17" t="n">
        <v>0.75</v>
      </c>
      <c r="G84" s="15" t="inlineStr"/>
      <c r="H84" s="15" t="b">
        <v>1</v>
      </c>
      <c r="I84" s="17" t="n">
        <v>1336.26</v>
      </c>
      <c r="J84" s="15" t="n">
        <v>8</v>
      </c>
      <c r="K84" s="17" t="n">
        <v>123.96</v>
      </c>
      <c r="L84" s="17" t="n">
        <v>112.5</v>
      </c>
      <c r="M84" s="17" t="n">
        <v>0</v>
      </c>
      <c r="N84" s="17" t="n">
        <v>1572.72</v>
      </c>
      <c r="O84" s="17" t="n">
        <v>144.53</v>
      </c>
      <c r="P84" s="17" t="n">
        <v>1428.19</v>
      </c>
      <c r="Q84" s="17" t="n">
        <v>172.69</v>
      </c>
      <c r="R84" s="17" t="n">
        <v>21.42</v>
      </c>
      <c r="S84" s="17" t="n">
        <v>1234.08</v>
      </c>
      <c r="T84" s="17" t="n">
        <v>135.91</v>
      </c>
      <c r="U84" s="18" t="n">
        <v>2.1667</v>
      </c>
      <c r="V84" s="18" t="n">
        <v>0</v>
      </c>
      <c r="W84" s="18" t="n">
        <v>28.3439</v>
      </c>
      <c r="X84" s="19">
        <f>ROUND(INDEX(CCNL!$F$5:$F$12,MATCH(D84,CCNL!$A$5:$A$12,0))*F84,2)</f>
        <v/>
      </c>
      <c r="Y84" s="4">
        <f>(YEAR(Parametri!$C$5)*12+MONTH(Parametri!$C$5))-(YEAR(E84)*12+MONTH(E84))</f>
        <v/>
      </c>
      <c r="Z84" s="4">
        <f>MIN(Parametri!$C$13,MAX(0,INT((Y84-1)/36)))</f>
        <v/>
      </c>
      <c r="AA84" s="19">
        <f>ROUND(INDEX(CCNL!$I$5:$I$12,MATCH(D84,CCNL!$A$5:$A$12,0))*Z84*F84,2)</f>
        <v/>
      </c>
      <c r="AB84" s="19">
        <f>ROUND(N84*Parametri!$C$6,2)</f>
        <v/>
      </c>
      <c r="AC84" s="19">
        <f>ROUND((I84+K84+L84)*Parametri!$C$8/Parametri!$C$7/12,2)</f>
        <v/>
      </c>
      <c r="AD84" s="20">
        <f>IFERROR(INDEX(Agosto!$D$5:$D$173,MATCH(A84,Agosto!$A$5:$A$173,0)),0)</f>
        <v/>
      </c>
      <c r="AE84" s="21">
        <f>ROUND(AD84+ROUND(Parametri!$C$9/12,4)-V84,4)</f>
        <v/>
      </c>
      <c r="AF84" s="19">
        <f>ROUND(I84+K84+L84+M84,2)</f>
        <v/>
      </c>
      <c r="AG84" s="19">
        <f>ROUND(N84-O84-Q84-R84,2)</f>
        <v/>
      </c>
      <c r="AH84" s="22">
        <f>IFERROR(INDEX(Agosto!$C$5:$C$173,MATCH(A84,Agosto!$A$5:$A$173,0)),"")</f>
        <v/>
      </c>
      <c r="AI84" s="23">
        <f>IF(AH84="","",S84/AH84-1)</f>
        <v/>
      </c>
      <c r="AJ84" s="4">
        <f>CHAR(65+MOD(SUMPRODUCT(SUMIF('Codice fiscale'!$A$5:$A$40,MID(C84,{1,3,5,7,9,11,13,15},1),'Codice fiscale'!$B$5:$B$40))+SUMPRODUCT(SUMIF('Codice fiscale'!$A$5:$A$40,MID(C84,{2,4,6,8,10,12,14},1),'Codice fiscale'!$C$5:$C$40)),26))</f>
        <v/>
      </c>
      <c r="AK84" s="4">
        <f>IF(ABS(I84-X84)&gt;Parametri!$C$11,"ERRORE","OK")</f>
        <v/>
      </c>
      <c r="AL84" s="4">
        <f>IF(ABS(K84-AA84)&gt;Parametri!$C$11,"ERRORE","OK")</f>
        <v/>
      </c>
      <c r="AM84" s="4">
        <f>IF(ABS(O84-AB84)&gt;Parametri!$C$11,"ERRORE","OK")</f>
        <v/>
      </c>
      <c r="AN84" s="4">
        <f>IF(ABS(T84-AC84)&gt;Parametri!$C$11,"ERRORE","OK")</f>
        <v/>
      </c>
      <c r="AO84" s="4">
        <f>IF(ABS(W84-AE84)&gt;Parametri!$C$12,"ERRORE","OK")</f>
        <v/>
      </c>
      <c r="AP84" s="4">
        <f>IF(OR(ABS(N84-AF84)&gt;Parametri!$C$11,ABS(S84-AG84)&gt;Parametri!$C$11),"ERRORE","OK")</f>
        <v/>
      </c>
      <c r="AQ84" s="4">
        <f>IF(AI84="","OK",IF(AND(ABS(AI84)&gt;Parametri!$C$10,G84=""),"ERRORE","OK"))</f>
        <v/>
      </c>
      <c r="AR84" s="4">
        <f>IF(AND(LEN(C84)=16,RIGHT(C84,1)=AJ84),"OK","ERRORE")</f>
        <v/>
      </c>
      <c r="AS84" s="12">
        <f>COUNTIF(AK84:AR84,"ERRORE")</f>
        <v/>
      </c>
    </row>
    <row r="85">
      <c r="A85" s="15" t="inlineStr">
        <is>
          <t>B081</t>
        </is>
      </c>
      <c r="B85" s="15" t="inlineStr">
        <is>
          <t>B</t>
        </is>
      </c>
      <c r="C85" s="15" t="inlineStr">
        <is>
          <t>PNGMTZ99E08Z233Y</t>
        </is>
      </c>
      <c r="D85" s="15" t="inlineStr">
        <is>
          <t>4</t>
        </is>
      </c>
      <c r="E85" s="16" t="n">
        <v>46098</v>
      </c>
      <c r="F85" s="17" t="n">
        <v>1</v>
      </c>
      <c r="G85" s="15" t="inlineStr"/>
      <c r="H85" s="15" t="b">
        <v>1</v>
      </c>
      <c r="I85" s="17" t="n">
        <v>1781.68</v>
      </c>
      <c r="J85" s="15" t="n">
        <v>0</v>
      </c>
      <c r="K85" s="17" t="n">
        <v>0</v>
      </c>
      <c r="L85" s="17" t="n">
        <v>80</v>
      </c>
      <c r="M85" s="17" t="n">
        <v>0</v>
      </c>
      <c r="N85" s="17" t="n">
        <v>1861.68</v>
      </c>
      <c r="O85" s="17" t="n">
        <v>171.09</v>
      </c>
      <c r="P85" s="17" t="n">
        <v>1690.59</v>
      </c>
      <c r="Q85" s="17" t="n">
        <v>243.54</v>
      </c>
      <c r="R85" s="17" t="n">
        <v>25.36</v>
      </c>
      <c r="S85" s="17" t="n">
        <v>1421.69</v>
      </c>
      <c r="T85" s="17" t="n">
        <v>160.89</v>
      </c>
      <c r="U85" s="18" t="n">
        <v>2.1667</v>
      </c>
      <c r="V85" s="18" t="n">
        <v>0</v>
      </c>
      <c r="W85" s="18" t="n">
        <v>24.7124</v>
      </c>
      <c r="X85" s="19">
        <f>ROUND(INDEX(CCNL!$F$5:$F$12,MATCH(D85,CCNL!$A$5:$A$12,0))*F85,2)</f>
        <v/>
      </c>
      <c r="Y85" s="4">
        <f>(YEAR(Parametri!$C$5)*12+MONTH(Parametri!$C$5))-(YEAR(E85)*12+MONTH(E85))</f>
        <v/>
      </c>
      <c r="Z85" s="4">
        <f>MIN(Parametri!$C$13,MAX(0,INT((Y85-1)/36)))</f>
        <v/>
      </c>
      <c r="AA85" s="19">
        <f>ROUND(INDEX(CCNL!$I$5:$I$12,MATCH(D85,CCNL!$A$5:$A$12,0))*Z85*F85,2)</f>
        <v/>
      </c>
      <c r="AB85" s="19">
        <f>ROUND(N85*Parametri!$C$6,2)</f>
        <v/>
      </c>
      <c r="AC85" s="19">
        <f>ROUND((I85+K85+L85)*Parametri!$C$8/Parametri!$C$7/12,2)</f>
        <v/>
      </c>
      <c r="AD85" s="20">
        <f>IFERROR(INDEX(Agosto!$D$5:$D$173,MATCH(A85,Agosto!$A$5:$A$173,0)),0)</f>
        <v/>
      </c>
      <c r="AE85" s="21">
        <f>ROUND(AD85+ROUND(Parametri!$C$9/12,4)-V85,4)</f>
        <v/>
      </c>
      <c r="AF85" s="19">
        <f>ROUND(I85+K85+L85+M85,2)</f>
        <v/>
      </c>
      <c r="AG85" s="19">
        <f>ROUND(N85-O85-Q85-R85,2)</f>
        <v/>
      </c>
      <c r="AH85" s="22">
        <f>IFERROR(INDEX(Agosto!$C$5:$C$173,MATCH(A85,Agosto!$A$5:$A$173,0)),"")</f>
        <v/>
      </c>
      <c r="AI85" s="23">
        <f>IF(AH85="","",S85/AH85-1)</f>
        <v/>
      </c>
      <c r="AJ85" s="4">
        <f>CHAR(65+MOD(SUMPRODUCT(SUMIF('Codice fiscale'!$A$5:$A$40,MID(C85,{1,3,5,7,9,11,13,15},1),'Codice fiscale'!$B$5:$B$40))+SUMPRODUCT(SUMIF('Codice fiscale'!$A$5:$A$40,MID(C85,{2,4,6,8,10,12,14},1),'Codice fiscale'!$C$5:$C$40)),26))</f>
        <v/>
      </c>
      <c r="AK85" s="4">
        <f>IF(ABS(I85-X85)&gt;Parametri!$C$11,"ERRORE","OK")</f>
        <v/>
      </c>
      <c r="AL85" s="4">
        <f>IF(ABS(K85-AA85)&gt;Parametri!$C$11,"ERRORE","OK")</f>
        <v/>
      </c>
      <c r="AM85" s="4">
        <f>IF(ABS(O85-AB85)&gt;Parametri!$C$11,"ERRORE","OK")</f>
        <v/>
      </c>
      <c r="AN85" s="4">
        <f>IF(ABS(T85-AC85)&gt;Parametri!$C$11,"ERRORE","OK")</f>
        <v/>
      </c>
      <c r="AO85" s="4">
        <f>IF(ABS(W85-AE85)&gt;Parametri!$C$12,"ERRORE","OK")</f>
        <v/>
      </c>
      <c r="AP85" s="4">
        <f>IF(OR(ABS(N85-AF85)&gt;Parametri!$C$11,ABS(S85-AG85)&gt;Parametri!$C$11),"ERRORE","OK")</f>
        <v/>
      </c>
      <c r="AQ85" s="4">
        <f>IF(AI85="","OK",IF(AND(ABS(AI85)&gt;Parametri!$C$10,G85=""),"ERRORE","OK"))</f>
        <v/>
      </c>
      <c r="AR85" s="4">
        <f>IF(AND(LEN(C85)=16,RIGHT(C85,1)=AJ85),"OK","ERRORE")</f>
        <v/>
      </c>
      <c r="AS85" s="12">
        <f>COUNTIF(AK85:AR85,"ERRORE")</f>
        <v/>
      </c>
    </row>
    <row r="86">
      <c r="A86" s="15" t="inlineStr">
        <is>
          <t>B082</t>
        </is>
      </c>
      <c r="B86" s="15" t="inlineStr">
        <is>
          <t>B</t>
        </is>
      </c>
      <c r="C86" s="15" t="inlineStr">
        <is>
          <t>BFRRLT99M06Z262B</t>
        </is>
      </c>
      <c r="D86" s="15" t="inlineStr">
        <is>
          <t>7</t>
        </is>
      </c>
      <c r="E86" s="16" t="n">
        <v>45179</v>
      </c>
      <c r="F86" s="17" t="n">
        <v>1</v>
      </c>
      <c r="G86" s="15" t="inlineStr"/>
      <c r="H86" s="15" t="b">
        <v>0</v>
      </c>
      <c r="I86" s="17" t="n">
        <v>1371.58</v>
      </c>
      <c r="J86" s="15" t="n">
        <v>0</v>
      </c>
      <c r="K86" s="17" t="n">
        <v>0</v>
      </c>
      <c r="L86" s="17" t="n">
        <v>50</v>
      </c>
      <c r="M86" s="17" t="n">
        <v>0</v>
      </c>
      <c r="N86" s="17" t="n">
        <v>1421.58</v>
      </c>
      <c r="O86" s="17" t="n">
        <v>130.64</v>
      </c>
      <c r="P86" s="17" t="n">
        <v>1290.94</v>
      </c>
      <c r="Q86" s="17" t="n">
        <v>135.64</v>
      </c>
      <c r="R86" s="17" t="n">
        <v>19.36</v>
      </c>
      <c r="S86" s="17" t="n">
        <v>1135.94</v>
      </c>
      <c r="T86" s="17" t="n">
        <v>122.85</v>
      </c>
      <c r="U86" s="18" t="n">
        <v>2.1667</v>
      </c>
      <c r="V86" s="18" t="n">
        <v>0</v>
      </c>
      <c r="W86" s="18" t="n">
        <v>25.806</v>
      </c>
      <c r="X86" s="19">
        <f>ROUND(INDEX(CCNL!$F$5:$F$12,MATCH(D86,CCNL!$A$5:$A$12,0))*F86,2)</f>
        <v/>
      </c>
      <c r="Y86" s="4">
        <f>(YEAR(Parametri!$C$5)*12+MONTH(Parametri!$C$5))-(YEAR(E86)*12+MONTH(E86))</f>
        <v/>
      </c>
      <c r="Z86" s="4">
        <f>MIN(Parametri!$C$13,MAX(0,INT((Y86-1)/36)))</f>
        <v/>
      </c>
      <c r="AA86" s="19">
        <f>ROUND(INDEX(CCNL!$I$5:$I$12,MATCH(D86,CCNL!$A$5:$A$12,0))*Z86*F86,2)</f>
        <v/>
      </c>
      <c r="AB86" s="19">
        <f>ROUND(N86*Parametri!$C$6,2)</f>
        <v/>
      </c>
      <c r="AC86" s="19">
        <f>ROUND((I86+K86+L86)*Parametri!$C$8/Parametri!$C$7/12,2)</f>
        <v/>
      </c>
      <c r="AD86" s="20">
        <f>IFERROR(INDEX(Agosto!$D$5:$D$173,MATCH(A86,Agosto!$A$5:$A$173,0)),0)</f>
        <v/>
      </c>
      <c r="AE86" s="21">
        <f>ROUND(AD86+ROUND(Parametri!$C$9/12,4)-V86,4)</f>
        <v/>
      </c>
      <c r="AF86" s="19">
        <f>ROUND(I86+K86+L86+M86,2)</f>
        <v/>
      </c>
      <c r="AG86" s="19">
        <f>ROUND(N86-O86-Q86-R86,2)</f>
        <v/>
      </c>
      <c r="AH86" s="22">
        <f>IFERROR(INDEX(Agosto!$C$5:$C$173,MATCH(A86,Agosto!$A$5:$A$173,0)),"")</f>
        <v/>
      </c>
      <c r="AI86" s="23">
        <f>IF(AH86="","",S86/AH86-1)</f>
        <v/>
      </c>
      <c r="AJ86" s="4">
        <f>CHAR(65+MOD(SUMPRODUCT(SUMIF('Codice fiscale'!$A$5:$A$40,MID(C86,{1,3,5,7,9,11,13,15},1),'Codice fiscale'!$B$5:$B$40))+SUMPRODUCT(SUMIF('Codice fiscale'!$A$5:$A$40,MID(C86,{2,4,6,8,10,12,14},1),'Codice fiscale'!$C$5:$C$40)),26))</f>
        <v/>
      </c>
      <c r="AK86" s="4">
        <f>IF(ABS(I86-X86)&gt;Parametri!$C$11,"ERRORE","OK")</f>
        <v/>
      </c>
      <c r="AL86" s="4">
        <f>IF(ABS(K86-AA86)&gt;Parametri!$C$11,"ERRORE","OK")</f>
        <v/>
      </c>
      <c r="AM86" s="4">
        <f>IF(ABS(O86-AB86)&gt;Parametri!$C$11,"ERRORE","OK")</f>
        <v/>
      </c>
      <c r="AN86" s="4">
        <f>IF(ABS(T86-AC86)&gt;Parametri!$C$11,"ERRORE","OK")</f>
        <v/>
      </c>
      <c r="AO86" s="4">
        <f>IF(ABS(W86-AE86)&gt;Parametri!$C$12,"ERRORE","OK")</f>
        <v/>
      </c>
      <c r="AP86" s="4">
        <f>IF(OR(ABS(N86-AF86)&gt;Parametri!$C$11,ABS(S86-AG86)&gt;Parametri!$C$11),"ERRORE","OK")</f>
        <v/>
      </c>
      <c r="AQ86" s="4">
        <f>IF(AI86="","OK",IF(AND(ABS(AI86)&gt;Parametri!$C$10,G86=""),"ERRORE","OK"))</f>
        <v/>
      </c>
      <c r="AR86" s="4">
        <f>IF(AND(LEN(C86)=16,RIGHT(C86,1)=AJ86),"OK","ERRORE")</f>
        <v/>
      </c>
      <c r="AS86" s="12">
        <f>COUNTIF(AK86:AR86,"ERRORE")</f>
        <v/>
      </c>
    </row>
    <row r="87">
      <c r="A87" s="15" t="inlineStr">
        <is>
          <t>B083</t>
        </is>
      </c>
      <c r="B87" s="15" t="inlineStr">
        <is>
          <t>B</t>
        </is>
      </c>
      <c r="C87" s="15" t="inlineStr">
        <is>
          <t>LZZMVS69S11Z331I</t>
        </is>
      </c>
      <c r="D87" s="15" t="inlineStr">
        <is>
          <t>4</t>
        </is>
      </c>
      <c r="E87" s="16" t="n">
        <v>44149</v>
      </c>
      <c r="F87" s="17" t="n">
        <v>1</v>
      </c>
      <c r="G87" s="15" t="inlineStr"/>
      <c r="H87" s="15" t="b">
        <v>1</v>
      </c>
      <c r="I87" s="17" t="n">
        <v>1781.68</v>
      </c>
      <c r="J87" s="15" t="n">
        <v>1</v>
      </c>
      <c r="K87" s="17" t="n">
        <v>20.66</v>
      </c>
      <c r="L87" s="17" t="n">
        <v>0</v>
      </c>
      <c r="M87" s="17" t="n">
        <v>0</v>
      </c>
      <c r="N87" s="17" t="n">
        <v>1802.34</v>
      </c>
      <c r="O87" s="17" t="n">
        <v>165.64</v>
      </c>
      <c r="P87" s="17" t="n">
        <v>1636.7</v>
      </c>
      <c r="Q87" s="17" t="n">
        <v>228.99</v>
      </c>
      <c r="R87" s="17" t="n">
        <v>24.55</v>
      </c>
      <c r="S87" s="17" t="n">
        <v>1383.16</v>
      </c>
      <c r="T87" s="17" t="n">
        <v>155.76</v>
      </c>
      <c r="U87" s="18" t="n">
        <v>2.1667</v>
      </c>
      <c r="V87" s="18" t="n">
        <v>1</v>
      </c>
      <c r="W87" s="18" t="n">
        <v>21.1401</v>
      </c>
      <c r="X87" s="19">
        <f>ROUND(INDEX(CCNL!$F$5:$F$12,MATCH(D87,CCNL!$A$5:$A$12,0))*F87,2)</f>
        <v/>
      </c>
      <c r="Y87" s="4">
        <f>(YEAR(Parametri!$C$5)*12+MONTH(Parametri!$C$5))-(YEAR(E87)*12+MONTH(E87))</f>
        <v/>
      </c>
      <c r="Z87" s="4">
        <f>MIN(Parametri!$C$13,MAX(0,INT((Y87-1)/36)))</f>
        <v/>
      </c>
      <c r="AA87" s="19">
        <f>ROUND(INDEX(CCNL!$I$5:$I$12,MATCH(D87,CCNL!$A$5:$A$12,0))*Z87*F87,2)</f>
        <v/>
      </c>
      <c r="AB87" s="19">
        <f>ROUND(N87*Parametri!$C$6,2)</f>
        <v/>
      </c>
      <c r="AC87" s="19">
        <f>ROUND((I87+K87+L87)*Parametri!$C$8/Parametri!$C$7/12,2)</f>
        <v/>
      </c>
      <c r="AD87" s="20">
        <f>IFERROR(INDEX(Agosto!$D$5:$D$173,MATCH(A87,Agosto!$A$5:$A$173,0)),0)</f>
        <v/>
      </c>
      <c r="AE87" s="21">
        <f>ROUND(AD87+ROUND(Parametri!$C$9/12,4)-V87,4)</f>
        <v/>
      </c>
      <c r="AF87" s="19">
        <f>ROUND(I87+K87+L87+M87,2)</f>
        <v/>
      </c>
      <c r="AG87" s="19">
        <f>ROUND(N87-O87-Q87-R87,2)</f>
        <v/>
      </c>
      <c r="AH87" s="22">
        <f>IFERROR(INDEX(Agosto!$C$5:$C$173,MATCH(A87,Agosto!$A$5:$A$173,0)),"")</f>
        <v/>
      </c>
      <c r="AI87" s="23">
        <f>IF(AH87="","",S87/AH87-1)</f>
        <v/>
      </c>
      <c r="AJ87" s="4">
        <f>CHAR(65+MOD(SUMPRODUCT(SUMIF('Codice fiscale'!$A$5:$A$40,MID(C87,{1,3,5,7,9,11,13,15},1),'Codice fiscale'!$B$5:$B$40))+SUMPRODUCT(SUMIF('Codice fiscale'!$A$5:$A$40,MID(C87,{2,4,6,8,10,12,14},1),'Codice fiscale'!$C$5:$C$40)),26))</f>
        <v/>
      </c>
      <c r="AK87" s="4">
        <f>IF(ABS(I87-X87)&gt;Parametri!$C$11,"ERRORE","OK")</f>
        <v/>
      </c>
      <c r="AL87" s="4">
        <f>IF(ABS(K87-AA87)&gt;Parametri!$C$11,"ERRORE","OK")</f>
        <v/>
      </c>
      <c r="AM87" s="4">
        <f>IF(ABS(O87-AB87)&gt;Parametri!$C$11,"ERRORE","OK")</f>
        <v/>
      </c>
      <c r="AN87" s="4">
        <f>IF(ABS(T87-AC87)&gt;Parametri!$C$11,"ERRORE","OK")</f>
        <v/>
      </c>
      <c r="AO87" s="4">
        <f>IF(ABS(W87-AE87)&gt;Parametri!$C$12,"ERRORE","OK")</f>
        <v/>
      </c>
      <c r="AP87" s="4">
        <f>IF(OR(ABS(N87-AF87)&gt;Parametri!$C$11,ABS(S87-AG87)&gt;Parametri!$C$11),"ERRORE","OK")</f>
        <v/>
      </c>
      <c r="AQ87" s="4">
        <f>IF(AI87="","OK",IF(AND(ABS(AI87)&gt;Parametri!$C$10,G87=""),"ERRORE","OK"))</f>
        <v/>
      </c>
      <c r="AR87" s="4">
        <f>IF(AND(LEN(C87)=16,RIGHT(C87,1)=AJ87),"OK","ERRORE")</f>
        <v/>
      </c>
      <c r="AS87" s="12">
        <f>COUNTIF(AK87:AR87,"ERRORE")</f>
        <v/>
      </c>
    </row>
    <row r="88">
      <c r="A88" s="15" t="inlineStr">
        <is>
          <t>B084</t>
        </is>
      </c>
      <c r="B88" s="15" t="inlineStr">
        <is>
          <t>B</t>
        </is>
      </c>
      <c r="C88" s="15" t="inlineStr">
        <is>
          <t>BLMNBR84A25Z111U</t>
        </is>
      </c>
      <c r="D88" s="15" t="inlineStr">
        <is>
          <t>4</t>
        </is>
      </c>
      <c r="E88" s="16" t="n">
        <v>41844</v>
      </c>
      <c r="F88" s="17" t="n">
        <v>1</v>
      </c>
      <c r="G88" s="15" t="inlineStr"/>
      <c r="H88" s="15" t="b">
        <v>0</v>
      </c>
      <c r="I88" s="17" t="n">
        <v>1781.68</v>
      </c>
      <c r="J88" s="15" t="n">
        <v>4</v>
      </c>
      <c r="K88" s="17" t="n">
        <v>82.64</v>
      </c>
      <c r="L88" s="17" t="n">
        <v>200</v>
      </c>
      <c r="M88" s="17" t="n">
        <v>0</v>
      </c>
      <c r="N88" s="17" t="n">
        <v>2064.32</v>
      </c>
      <c r="O88" s="17" t="n">
        <v>189.71</v>
      </c>
      <c r="P88" s="17" t="n">
        <v>1874.61</v>
      </c>
      <c r="Q88" s="17" t="n">
        <v>293.23</v>
      </c>
      <c r="R88" s="17" t="n">
        <v>28.12</v>
      </c>
      <c r="S88" s="17" t="n">
        <v>1553.26</v>
      </c>
      <c r="T88" s="17" t="n">
        <v>178.4</v>
      </c>
      <c r="U88" s="18" t="n">
        <v>2.1667</v>
      </c>
      <c r="V88" s="18" t="n">
        <v>0</v>
      </c>
      <c r="W88" s="18" t="n">
        <v>15.8011</v>
      </c>
      <c r="X88" s="19">
        <f>ROUND(INDEX(CCNL!$F$5:$F$12,MATCH(D88,CCNL!$A$5:$A$12,0))*F88,2)</f>
        <v/>
      </c>
      <c r="Y88" s="4">
        <f>(YEAR(Parametri!$C$5)*12+MONTH(Parametri!$C$5))-(YEAR(E88)*12+MONTH(E88))</f>
        <v/>
      </c>
      <c r="Z88" s="4">
        <f>MIN(Parametri!$C$13,MAX(0,INT((Y88-1)/36)))</f>
        <v/>
      </c>
      <c r="AA88" s="19">
        <f>ROUND(INDEX(CCNL!$I$5:$I$12,MATCH(D88,CCNL!$A$5:$A$12,0))*Z88*F88,2)</f>
        <v/>
      </c>
      <c r="AB88" s="19">
        <f>ROUND(N88*Parametri!$C$6,2)</f>
        <v/>
      </c>
      <c r="AC88" s="19">
        <f>ROUND((I88+K88+L88)*Parametri!$C$8/Parametri!$C$7/12,2)</f>
        <v/>
      </c>
      <c r="AD88" s="20">
        <f>IFERROR(INDEX(Agosto!$D$5:$D$173,MATCH(A88,Agosto!$A$5:$A$173,0)),0)</f>
        <v/>
      </c>
      <c r="AE88" s="21">
        <f>ROUND(AD88+ROUND(Parametri!$C$9/12,4)-V88,4)</f>
        <v/>
      </c>
      <c r="AF88" s="19">
        <f>ROUND(I88+K88+L88+M88,2)</f>
        <v/>
      </c>
      <c r="AG88" s="19">
        <f>ROUND(N88-O88-Q88-R88,2)</f>
        <v/>
      </c>
      <c r="AH88" s="22">
        <f>IFERROR(INDEX(Agosto!$C$5:$C$173,MATCH(A88,Agosto!$A$5:$A$173,0)),"")</f>
        <v/>
      </c>
      <c r="AI88" s="23">
        <f>IF(AH88="","",S88/AH88-1)</f>
        <v/>
      </c>
      <c r="AJ88" s="4">
        <f>CHAR(65+MOD(SUMPRODUCT(SUMIF('Codice fiscale'!$A$5:$A$40,MID(C88,{1,3,5,7,9,11,13,15},1),'Codice fiscale'!$B$5:$B$40))+SUMPRODUCT(SUMIF('Codice fiscale'!$A$5:$A$40,MID(C88,{2,4,6,8,10,12,14},1),'Codice fiscale'!$C$5:$C$40)),26))</f>
        <v/>
      </c>
      <c r="AK88" s="4">
        <f>IF(ABS(I88-X88)&gt;Parametri!$C$11,"ERRORE","OK")</f>
        <v/>
      </c>
      <c r="AL88" s="4">
        <f>IF(ABS(K88-AA88)&gt;Parametri!$C$11,"ERRORE","OK")</f>
        <v/>
      </c>
      <c r="AM88" s="4">
        <f>IF(ABS(O88-AB88)&gt;Parametri!$C$11,"ERRORE","OK")</f>
        <v/>
      </c>
      <c r="AN88" s="4">
        <f>IF(ABS(T88-AC88)&gt;Parametri!$C$11,"ERRORE","OK")</f>
        <v/>
      </c>
      <c r="AO88" s="4">
        <f>IF(ABS(W88-AE88)&gt;Parametri!$C$12,"ERRORE","OK")</f>
        <v/>
      </c>
      <c r="AP88" s="4">
        <f>IF(OR(ABS(N88-AF88)&gt;Parametri!$C$11,ABS(S88-AG88)&gt;Parametri!$C$11),"ERRORE","OK")</f>
        <v/>
      </c>
      <c r="AQ88" s="4">
        <f>IF(AI88="","OK",IF(AND(ABS(AI88)&gt;Parametri!$C$10,G88=""),"ERRORE","OK"))</f>
        <v/>
      </c>
      <c r="AR88" s="4">
        <f>IF(AND(LEN(C88)=16,RIGHT(C88,1)=AJ88),"OK","ERRORE")</f>
        <v/>
      </c>
      <c r="AS88" s="12">
        <f>COUNTIF(AK88:AR88,"ERRORE")</f>
        <v/>
      </c>
    </row>
    <row r="89">
      <c r="A89" s="15" t="inlineStr">
        <is>
          <t>B085</t>
        </is>
      </c>
      <c r="B89" s="15" t="inlineStr">
        <is>
          <t>B</t>
        </is>
      </c>
      <c r="C89" s="15" t="inlineStr">
        <is>
          <t>BFFBCF96A44Z190B</t>
        </is>
      </c>
      <c r="D89" s="15" t="inlineStr">
        <is>
          <t>4</t>
        </is>
      </c>
      <c r="E89" s="16" t="n">
        <v>44021</v>
      </c>
      <c r="F89" s="17" t="n">
        <v>0.5</v>
      </c>
      <c r="G89" s="15" t="inlineStr"/>
      <c r="H89" s="15" t="b">
        <v>1</v>
      </c>
      <c r="I89" s="17" t="n">
        <v>890.84</v>
      </c>
      <c r="J89" s="15" t="n">
        <v>2</v>
      </c>
      <c r="K89" s="17" t="n">
        <v>20.66</v>
      </c>
      <c r="L89" s="17" t="n">
        <v>40</v>
      </c>
      <c r="M89" s="17" t="n">
        <v>0</v>
      </c>
      <c r="N89" s="17" t="n">
        <v>951.5</v>
      </c>
      <c r="O89" s="17" t="n">
        <v>87.44</v>
      </c>
      <c r="P89" s="17" t="n">
        <v>864.0599999999999</v>
      </c>
      <c r="Q89" s="17" t="n">
        <v>35.82</v>
      </c>
      <c r="R89" s="17" t="n">
        <v>12.96</v>
      </c>
      <c r="S89" s="17" t="n">
        <v>815.28</v>
      </c>
      <c r="T89" s="17" t="n">
        <v>82.23</v>
      </c>
      <c r="U89" s="18" t="n">
        <v>2.1667</v>
      </c>
      <c r="V89" s="18" t="n">
        <v>0</v>
      </c>
      <c r="W89" s="18" t="n">
        <v>12.8227</v>
      </c>
      <c r="X89" s="19">
        <f>ROUND(INDEX(CCNL!$F$5:$F$12,MATCH(D89,CCNL!$A$5:$A$12,0))*F89,2)</f>
        <v/>
      </c>
      <c r="Y89" s="4">
        <f>(YEAR(Parametri!$C$5)*12+MONTH(Parametri!$C$5))-(YEAR(E89)*12+MONTH(E89))</f>
        <v/>
      </c>
      <c r="Z89" s="4">
        <f>MIN(Parametri!$C$13,MAX(0,INT((Y89-1)/36)))</f>
        <v/>
      </c>
      <c r="AA89" s="19">
        <f>ROUND(INDEX(CCNL!$I$5:$I$12,MATCH(D89,CCNL!$A$5:$A$12,0))*Z89*F89,2)</f>
        <v/>
      </c>
      <c r="AB89" s="19">
        <f>ROUND(N89*Parametri!$C$6,2)</f>
        <v/>
      </c>
      <c r="AC89" s="19">
        <f>ROUND((I89+K89+L89)*Parametri!$C$8/Parametri!$C$7/12,2)</f>
        <v/>
      </c>
      <c r="AD89" s="20">
        <f>IFERROR(INDEX(Agosto!$D$5:$D$173,MATCH(A89,Agosto!$A$5:$A$173,0)),0)</f>
        <v/>
      </c>
      <c r="AE89" s="21">
        <f>ROUND(AD89+ROUND(Parametri!$C$9/12,4)-V89,4)</f>
        <v/>
      </c>
      <c r="AF89" s="19">
        <f>ROUND(I89+K89+L89+M89,2)</f>
        <v/>
      </c>
      <c r="AG89" s="19">
        <f>ROUND(N89-O89-Q89-R89,2)</f>
        <v/>
      </c>
      <c r="AH89" s="22">
        <f>IFERROR(INDEX(Agosto!$C$5:$C$173,MATCH(A89,Agosto!$A$5:$A$173,0)),"")</f>
        <v/>
      </c>
      <c r="AI89" s="23">
        <f>IF(AH89="","",S89/AH89-1)</f>
        <v/>
      </c>
      <c r="AJ89" s="4">
        <f>CHAR(65+MOD(SUMPRODUCT(SUMIF('Codice fiscale'!$A$5:$A$40,MID(C89,{1,3,5,7,9,11,13,15},1),'Codice fiscale'!$B$5:$B$40))+SUMPRODUCT(SUMIF('Codice fiscale'!$A$5:$A$40,MID(C89,{2,4,6,8,10,12,14},1),'Codice fiscale'!$C$5:$C$40)),26))</f>
        <v/>
      </c>
      <c r="AK89" s="4">
        <f>IF(ABS(I89-X89)&gt;Parametri!$C$11,"ERRORE","OK")</f>
        <v/>
      </c>
      <c r="AL89" s="4">
        <f>IF(ABS(K89-AA89)&gt;Parametri!$C$11,"ERRORE","OK")</f>
        <v/>
      </c>
      <c r="AM89" s="4">
        <f>IF(ABS(O89-AB89)&gt;Parametri!$C$11,"ERRORE","OK")</f>
        <v/>
      </c>
      <c r="AN89" s="4">
        <f>IF(ABS(T89-AC89)&gt;Parametri!$C$11,"ERRORE","OK")</f>
        <v/>
      </c>
      <c r="AO89" s="4">
        <f>IF(ABS(W89-AE89)&gt;Parametri!$C$12,"ERRORE","OK")</f>
        <v/>
      </c>
      <c r="AP89" s="4">
        <f>IF(OR(ABS(N89-AF89)&gt;Parametri!$C$11,ABS(S89-AG89)&gt;Parametri!$C$11),"ERRORE","OK")</f>
        <v/>
      </c>
      <c r="AQ89" s="4">
        <f>IF(AI89="","OK",IF(AND(ABS(AI89)&gt;Parametri!$C$10,G89=""),"ERRORE","OK"))</f>
        <v/>
      </c>
      <c r="AR89" s="4">
        <f>IF(AND(LEN(C89)=16,RIGHT(C89,1)=AJ89),"OK","ERRORE")</f>
        <v/>
      </c>
      <c r="AS89" s="12">
        <f>COUNTIF(AK89:AR89,"ERRORE")</f>
        <v/>
      </c>
    </row>
    <row r="90">
      <c r="A90" s="15" t="inlineStr">
        <is>
          <t>B086</t>
        </is>
      </c>
      <c r="B90" s="15" t="inlineStr">
        <is>
          <t>B</t>
        </is>
      </c>
      <c r="C90" s="15" t="inlineStr">
        <is>
          <t>GDCZMF01P55Z159P</t>
        </is>
      </c>
      <c r="D90" s="15" t="inlineStr">
        <is>
          <t>4</t>
        </is>
      </c>
      <c r="E90" s="16" t="n">
        <v>44155</v>
      </c>
      <c r="F90" s="17" t="n">
        <v>1</v>
      </c>
      <c r="G90" s="15" t="inlineStr"/>
      <c r="H90" s="15" t="b">
        <v>1</v>
      </c>
      <c r="I90" s="17" t="n">
        <v>1781.68</v>
      </c>
      <c r="J90" s="15" t="n">
        <v>1</v>
      </c>
      <c r="K90" s="17" t="n">
        <v>20.66</v>
      </c>
      <c r="L90" s="17" t="n">
        <v>0</v>
      </c>
      <c r="M90" s="17" t="n">
        <v>0</v>
      </c>
      <c r="N90" s="17" t="n">
        <v>1802.34</v>
      </c>
      <c r="O90" s="17" t="n">
        <v>165.64</v>
      </c>
      <c r="P90" s="17" t="n">
        <v>1636.7</v>
      </c>
      <c r="Q90" s="17" t="n">
        <v>228.99</v>
      </c>
      <c r="R90" s="17" t="n">
        <v>24.55</v>
      </c>
      <c r="S90" s="17" t="n">
        <v>1383.16</v>
      </c>
      <c r="T90" s="17" t="n">
        <v>155.76</v>
      </c>
      <c r="U90" s="18" t="n">
        <v>2.1667</v>
      </c>
      <c r="V90" s="18" t="n">
        <v>0</v>
      </c>
      <c r="W90" s="18" t="n">
        <v>14.0232</v>
      </c>
      <c r="X90" s="19">
        <f>ROUND(INDEX(CCNL!$F$5:$F$12,MATCH(D90,CCNL!$A$5:$A$12,0))*F90,2)</f>
        <v/>
      </c>
      <c r="Y90" s="4">
        <f>(YEAR(Parametri!$C$5)*12+MONTH(Parametri!$C$5))-(YEAR(E90)*12+MONTH(E90))</f>
        <v/>
      </c>
      <c r="Z90" s="4">
        <f>MIN(Parametri!$C$13,MAX(0,INT((Y90-1)/36)))</f>
        <v/>
      </c>
      <c r="AA90" s="19">
        <f>ROUND(INDEX(CCNL!$I$5:$I$12,MATCH(D90,CCNL!$A$5:$A$12,0))*Z90*F90,2)</f>
        <v/>
      </c>
      <c r="AB90" s="19">
        <f>ROUND(N90*Parametri!$C$6,2)</f>
        <v/>
      </c>
      <c r="AC90" s="19">
        <f>ROUND((I90+K90+L90)*Parametri!$C$8/Parametri!$C$7/12,2)</f>
        <v/>
      </c>
      <c r="AD90" s="20">
        <f>IFERROR(INDEX(Agosto!$D$5:$D$173,MATCH(A90,Agosto!$A$5:$A$173,0)),0)</f>
        <v/>
      </c>
      <c r="AE90" s="21">
        <f>ROUND(AD90+ROUND(Parametri!$C$9/12,4)-V90,4)</f>
        <v/>
      </c>
      <c r="AF90" s="19">
        <f>ROUND(I90+K90+L90+M90,2)</f>
        <v/>
      </c>
      <c r="AG90" s="19">
        <f>ROUND(N90-O90-Q90-R90,2)</f>
        <v/>
      </c>
      <c r="AH90" s="22">
        <f>IFERROR(INDEX(Agosto!$C$5:$C$173,MATCH(A90,Agosto!$A$5:$A$173,0)),"")</f>
        <v/>
      </c>
      <c r="AI90" s="23">
        <f>IF(AH90="","",S90/AH90-1)</f>
        <v/>
      </c>
      <c r="AJ90" s="4">
        <f>CHAR(65+MOD(SUMPRODUCT(SUMIF('Codice fiscale'!$A$5:$A$40,MID(C90,{1,3,5,7,9,11,13,15},1),'Codice fiscale'!$B$5:$B$40))+SUMPRODUCT(SUMIF('Codice fiscale'!$A$5:$A$40,MID(C90,{2,4,6,8,10,12,14},1),'Codice fiscale'!$C$5:$C$40)),26))</f>
        <v/>
      </c>
      <c r="AK90" s="4">
        <f>IF(ABS(I90-X90)&gt;Parametri!$C$11,"ERRORE","OK")</f>
        <v/>
      </c>
      <c r="AL90" s="4">
        <f>IF(ABS(K90-AA90)&gt;Parametri!$C$11,"ERRORE","OK")</f>
        <v/>
      </c>
      <c r="AM90" s="4">
        <f>IF(ABS(O90-AB90)&gt;Parametri!$C$11,"ERRORE","OK")</f>
        <v/>
      </c>
      <c r="AN90" s="4">
        <f>IF(ABS(T90-AC90)&gt;Parametri!$C$11,"ERRORE","OK")</f>
        <v/>
      </c>
      <c r="AO90" s="4">
        <f>IF(ABS(W90-AE90)&gt;Parametri!$C$12,"ERRORE","OK")</f>
        <v/>
      </c>
      <c r="AP90" s="4">
        <f>IF(OR(ABS(N90-AF90)&gt;Parametri!$C$11,ABS(S90-AG90)&gt;Parametri!$C$11),"ERRORE","OK")</f>
        <v/>
      </c>
      <c r="AQ90" s="4">
        <f>IF(AI90="","OK",IF(AND(ABS(AI90)&gt;Parametri!$C$10,G90=""),"ERRORE","OK"))</f>
        <v/>
      </c>
      <c r="AR90" s="4">
        <f>IF(AND(LEN(C90)=16,RIGHT(C90,1)=AJ90),"OK","ERRORE")</f>
        <v/>
      </c>
      <c r="AS90" s="12">
        <f>COUNTIF(AK90:AR90,"ERRORE")</f>
        <v/>
      </c>
    </row>
    <row r="91">
      <c r="A91" s="15" t="inlineStr">
        <is>
          <t>B087</t>
        </is>
      </c>
      <c r="B91" s="15" t="inlineStr">
        <is>
          <t>B</t>
        </is>
      </c>
      <c r="C91" s="15" t="inlineStr">
        <is>
          <t>VVZGML68B59Z385J</t>
        </is>
      </c>
      <c r="D91" s="15" t="inlineStr">
        <is>
          <t>4</t>
        </is>
      </c>
      <c r="E91" s="16" t="n">
        <v>43470</v>
      </c>
      <c r="F91" s="17" t="n">
        <v>0.75</v>
      </c>
      <c r="G91" s="15" t="inlineStr"/>
      <c r="H91" s="15" t="b">
        <v>1</v>
      </c>
      <c r="I91" s="17" t="n">
        <v>1336.26</v>
      </c>
      <c r="J91" s="15" t="n">
        <v>2</v>
      </c>
      <c r="K91" s="17" t="n">
        <v>30.99</v>
      </c>
      <c r="L91" s="17" t="n">
        <v>0</v>
      </c>
      <c r="M91" s="17" t="n">
        <v>0</v>
      </c>
      <c r="N91" s="17" t="n">
        <v>1367.25</v>
      </c>
      <c r="O91" s="17" t="n">
        <v>129.75</v>
      </c>
      <c r="P91" s="17" t="n">
        <v>1237.5</v>
      </c>
      <c r="Q91" s="17" t="n">
        <v>121.71</v>
      </c>
      <c r="R91" s="17" t="n">
        <v>18.56</v>
      </c>
      <c r="S91" s="17" t="n">
        <v>1097.23</v>
      </c>
      <c r="T91" s="17" t="n">
        <v>118.16</v>
      </c>
      <c r="U91" s="18" t="n">
        <v>2.1667</v>
      </c>
      <c r="V91" s="18" t="n">
        <v>0</v>
      </c>
      <c r="W91" s="18" t="n">
        <v>20.1701</v>
      </c>
      <c r="X91" s="19">
        <f>ROUND(INDEX(CCNL!$F$5:$F$12,MATCH(D91,CCNL!$A$5:$A$12,0))*F91,2)</f>
        <v/>
      </c>
      <c r="Y91" s="4">
        <f>(YEAR(Parametri!$C$5)*12+MONTH(Parametri!$C$5))-(YEAR(E91)*12+MONTH(E91))</f>
        <v/>
      </c>
      <c r="Z91" s="4">
        <f>MIN(Parametri!$C$13,MAX(0,INT((Y91-1)/36)))</f>
        <v/>
      </c>
      <c r="AA91" s="19">
        <f>ROUND(INDEX(CCNL!$I$5:$I$12,MATCH(D91,CCNL!$A$5:$A$12,0))*Z91*F91,2)</f>
        <v/>
      </c>
      <c r="AB91" s="19">
        <f>ROUND(N91*Parametri!$C$6,2)</f>
        <v/>
      </c>
      <c r="AC91" s="19">
        <f>ROUND((I91+K91+L91)*Parametri!$C$8/Parametri!$C$7/12,2)</f>
        <v/>
      </c>
      <c r="AD91" s="20">
        <f>IFERROR(INDEX(Agosto!$D$5:$D$173,MATCH(A91,Agosto!$A$5:$A$173,0)),0)</f>
        <v/>
      </c>
      <c r="AE91" s="21">
        <f>ROUND(AD91+ROUND(Parametri!$C$9/12,4)-V91,4)</f>
        <v/>
      </c>
      <c r="AF91" s="19">
        <f>ROUND(I91+K91+L91+M91,2)</f>
        <v/>
      </c>
      <c r="AG91" s="19">
        <f>ROUND(N91-O91-Q91-R91,2)</f>
        <v/>
      </c>
      <c r="AH91" s="22">
        <f>IFERROR(INDEX(Agosto!$C$5:$C$173,MATCH(A91,Agosto!$A$5:$A$173,0)),"")</f>
        <v/>
      </c>
      <c r="AI91" s="23">
        <f>IF(AH91="","",S91/AH91-1)</f>
        <v/>
      </c>
      <c r="AJ91" s="4">
        <f>CHAR(65+MOD(SUMPRODUCT(SUMIF('Codice fiscale'!$A$5:$A$40,MID(C91,{1,3,5,7,9,11,13,15},1),'Codice fiscale'!$B$5:$B$40))+SUMPRODUCT(SUMIF('Codice fiscale'!$A$5:$A$40,MID(C91,{2,4,6,8,10,12,14},1),'Codice fiscale'!$C$5:$C$40)),26))</f>
        <v/>
      </c>
      <c r="AK91" s="4">
        <f>IF(ABS(I91-X91)&gt;Parametri!$C$11,"ERRORE","OK")</f>
        <v/>
      </c>
      <c r="AL91" s="4">
        <f>IF(ABS(K91-AA91)&gt;Parametri!$C$11,"ERRORE","OK")</f>
        <v/>
      </c>
      <c r="AM91" s="4">
        <f>IF(ABS(O91-AB91)&gt;Parametri!$C$11,"ERRORE","OK")</f>
        <v/>
      </c>
      <c r="AN91" s="4">
        <f>IF(ABS(T91-AC91)&gt;Parametri!$C$11,"ERRORE","OK")</f>
        <v/>
      </c>
      <c r="AO91" s="4">
        <f>IF(ABS(W91-AE91)&gt;Parametri!$C$12,"ERRORE","OK")</f>
        <v/>
      </c>
      <c r="AP91" s="4">
        <f>IF(OR(ABS(N91-AF91)&gt;Parametri!$C$11,ABS(S91-AG91)&gt;Parametri!$C$11),"ERRORE","OK")</f>
        <v/>
      </c>
      <c r="AQ91" s="4">
        <f>IF(AI91="","OK",IF(AND(ABS(AI91)&gt;Parametri!$C$10,G91=""),"ERRORE","OK"))</f>
        <v/>
      </c>
      <c r="AR91" s="4">
        <f>IF(AND(LEN(C91)=16,RIGHT(C91,1)=AJ91),"OK","ERRORE")</f>
        <v/>
      </c>
      <c r="AS91" s="12">
        <f>COUNTIF(AK91:AR91,"ERRORE")</f>
        <v/>
      </c>
    </row>
    <row r="92">
      <c r="A92" s="15" t="inlineStr">
        <is>
          <t>B088</t>
        </is>
      </c>
      <c r="B92" s="15" t="inlineStr">
        <is>
          <t>B</t>
        </is>
      </c>
      <c r="C92" s="15" t="inlineStr">
        <is>
          <t>RMTBCN74A14Z393D</t>
        </is>
      </c>
      <c r="D92" s="15" t="inlineStr">
        <is>
          <t>4</t>
        </is>
      </c>
      <c r="E92" s="16" t="n">
        <v>41707</v>
      </c>
      <c r="F92" s="17" t="n">
        <v>0.5</v>
      </c>
      <c r="G92" s="15" t="inlineStr"/>
      <c r="H92" s="15" t="b">
        <v>1</v>
      </c>
      <c r="I92" s="17" t="n">
        <v>890.84</v>
      </c>
      <c r="J92" s="15" t="n">
        <v>4</v>
      </c>
      <c r="K92" s="17" t="n">
        <v>41.32</v>
      </c>
      <c r="L92" s="17" t="n">
        <v>0</v>
      </c>
      <c r="M92" s="17" t="n">
        <v>0</v>
      </c>
      <c r="N92" s="17" t="n">
        <v>932.16</v>
      </c>
      <c r="O92" s="17" t="n">
        <v>85.67</v>
      </c>
      <c r="P92" s="17" t="n">
        <v>846.49</v>
      </c>
      <c r="Q92" s="17" t="n">
        <v>31.78</v>
      </c>
      <c r="R92" s="17" t="n">
        <v>12.7</v>
      </c>
      <c r="S92" s="17" t="n">
        <v>802.01</v>
      </c>
      <c r="T92" s="17" t="n">
        <v>80.56</v>
      </c>
      <c r="U92" s="18" t="n">
        <v>2.1667</v>
      </c>
      <c r="V92" s="18" t="n">
        <v>1</v>
      </c>
      <c r="W92" s="18" t="n">
        <v>12.2684</v>
      </c>
      <c r="X92" s="19">
        <f>ROUND(INDEX(CCNL!$F$5:$F$12,MATCH(D92,CCNL!$A$5:$A$12,0))*F92,2)</f>
        <v/>
      </c>
      <c r="Y92" s="4">
        <f>(YEAR(Parametri!$C$5)*12+MONTH(Parametri!$C$5))-(YEAR(E92)*12+MONTH(E92))</f>
        <v/>
      </c>
      <c r="Z92" s="4">
        <f>MIN(Parametri!$C$13,MAX(0,INT((Y92-1)/36)))</f>
        <v/>
      </c>
      <c r="AA92" s="19">
        <f>ROUND(INDEX(CCNL!$I$5:$I$12,MATCH(D92,CCNL!$A$5:$A$12,0))*Z92*F92,2)</f>
        <v/>
      </c>
      <c r="AB92" s="19">
        <f>ROUND(N92*Parametri!$C$6,2)</f>
        <v/>
      </c>
      <c r="AC92" s="19">
        <f>ROUND((I92+K92+L92)*Parametri!$C$8/Parametri!$C$7/12,2)</f>
        <v/>
      </c>
      <c r="AD92" s="20">
        <f>IFERROR(INDEX(Agosto!$D$5:$D$173,MATCH(A92,Agosto!$A$5:$A$173,0)),0)</f>
        <v/>
      </c>
      <c r="AE92" s="21">
        <f>ROUND(AD92+ROUND(Parametri!$C$9/12,4)-V92,4)</f>
        <v/>
      </c>
      <c r="AF92" s="19">
        <f>ROUND(I92+K92+L92+M92,2)</f>
        <v/>
      </c>
      <c r="AG92" s="19">
        <f>ROUND(N92-O92-Q92-R92,2)</f>
        <v/>
      </c>
      <c r="AH92" s="22">
        <f>IFERROR(INDEX(Agosto!$C$5:$C$173,MATCH(A92,Agosto!$A$5:$A$173,0)),"")</f>
        <v/>
      </c>
      <c r="AI92" s="23">
        <f>IF(AH92="","",S92/AH92-1)</f>
        <v/>
      </c>
      <c r="AJ92" s="4">
        <f>CHAR(65+MOD(SUMPRODUCT(SUMIF('Codice fiscale'!$A$5:$A$40,MID(C92,{1,3,5,7,9,11,13,15},1),'Codice fiscale'!$B$5:$B$40))+SUMPRODUCT(SUMIF('Codice fiscale'!$A$5:$A$40,MID(C92,{2,4,6,8,10,12,14},1),'Codice fiscale'!$C$5:$C$40)),26))</f>
        <v/>
      </c>
      <c r="AK92" s="4">
        <f>IF(ABS(I92-X92)&gt;Parametri!$C$11,"ERRORE","OK")</f>
        <v/>
      </c>
      <c r="AL92" s="4">
        <f>IF(ABS(K92-AA92)&gt;Parametri!$C$11,"ERRORE","OK")</f>
        <v/>
      </c>
      <c r="AM92" s="4">
        <f>IF(ABS(O92-AB92)&gt;Parametri!$C$11,"ERRORE","OK")</f>
        <v/>
      </c>
      <c r="AN92" s="4">
        <f>IF(ABS(T92-AC92)&gt;Parametri!$C$11,"ERRORE","OK")</f>
        <v/>
      </c>
      <c r="AO92" s="4">
        <f>IF(ABS(W92-AE92)&gt;Parametri!$C$12,"ERRORE","OK")</f>
        <v/>
      </c>
      <c r="AP92" s="4">
        <f>IF(OR(ABS(N92-AF92)&gt;Parametri!$C$11,ABS(S92-AG92)&gt;Parametri!$C$11),"ERRORE","OK")</f>
        <v/>
      </c>
      <c r="AQ92" s="4">
        <f>IF(AI92="","OK",IF(AND(ABS(AI92)&gt;Parametri!$C$10,G92=""),"ERRORE","OK"))</f>
        <v/>
      </c>
      <c r="AR92" s="4">
        <f>IF(AND(LEN(C92)=16,RIGHT(C92,1)=AJ92),"OK","ERRORE")</f>
        <v/>
      </c>
      <c r="AS92" s="12">
        <f>COUNTIF(AK92:AR92,"ERRORE")</f>
        <v/>
      </c>
    </row>
    <row r="93">
      <c r="A93" s="15" t="inlineStr">
        <is>
          <t>B089</t>
        </is>
      </c>
      <c r="B93" s="15" t="inlineStr">
        <is>
          <t>B</t>
        </is>
      </c>
      <c r="C93" s="15" t="inlineStr">
        <is>
          <t>FGTNPR02S45Z177R</t>
        </is>
      </c>
      <c r="D93" s="15" t="inlineStr">
        <is>
          <t>5</t>
        </is>
      </c>
      <c r="E93" s="16" t="n">
        <v>44341</v>
      </c>
      <c r="F93" s="17" t="n">
        <v>0.75</v>
      </c>
      <c r="G93" s="15" t="inlineStr"/>
      <c r="H93" s="15" t="b">
        <v>1</v>
      </c>
      <c r="I93" s="17" t="n">
        <v>1243.51</v>
      </c>
      <c r="J93" s="15" t="n">
        <v>1</v>
      </c>
      <c r="K93" s="17" t="n">
        <v>15.23</v>
      </c>
      <c r="L93" s="17" t="n">
        <v>112.5</v>
      </c>
      <c r="M93" s="17" t="n">
        <v>0</v>
      </c>
      <c r="N93" s="17" t="n">
        <v>1371.24</v>
      </c>
      <c r="O93" s="17" t="n">
        <v>126.02</v>
      </c>
      <c r="P93" s="17" t="n">
        <v>1245.22</v>
      </c>
      <c r="Q93" s="17" t="n">
        <v>123.48</v>
      </c>
      <c r="R93" s="17" t="n">
        <v>18.68</v>
      </c>
      <c r="S93" s="17" t="n">
        <v>1103.06</v>
      </c>
      <c r="T93" s="17" t="n">
        <v>118.5</v>
      </c>
      <c r="U93" s="18" t="n">
        <v>2.1667</v>
      </c>
      <c r="V93" s="18" t="n">
        <v>1</v>
      </c>
      <c r="W93" s="18" t="n">
        <v>20.576</v>
      </c>
      <c r="X93" s="19">
        <f>ROUND(INDEX(CCNL!$F$5:$F$12,MATCH(D93,CCNL!$A$5:$A$12,0))*F93,2)</f>
        <v/>
      </c>
      <c r="Y93" s="4">
        <f>(YEAR(Parametri!$C$5)*12+MONTH(Parametri!$C$5))-(YEAR(E93)*12+MONTH(E93))</f>
        <v/>
      </c>
      <c r="Z93" s="4">
        <f>MIN(Parametri!$C$13,MAX(0,INT((Y93-1)/36)))</f>
        <v/>
      </c>
      <c r="AA93" s="19">
        <f>ROUND(INDEX(CCNL!$I$5:$I$12,MATCH(D93,CCNL!$A$5:$A$12,0))*Z93*F93,2)</f>
        <v/>
      </c>
      <c r="AB93" s="19">
        <f>ROUND(N93*Parametri!$C$6,2)</f>
        <v/>
      </c>
      <c r="AC93" s="19">
        <f>ROUND((I93+K93+L93)*Parametri!$C$8/Parametri!$C$7/12,2)</f>
        <v/>
      </c>
      <c r="AD93" s="20">
        <f>IFERROR(INDEX(Agosto!$D$5:$D$173,MATCH(A93,Agosto!$A$5:$A$173,0)),0)</f>
        <v/>
      </c>
      <c r="AE93" s="21">
        <f>ROUND(AD93+ROUND(Parametri!$C$9/12,4)-V93,4)</f>
        <v/>
      </c>
      <c r="AF93" s="19">
        <f>ROUND(I93+K93+L93+M93,2)</f>
        <v/>
      </c>
      <c r="AG93" s="19">
        <f>ROUND(N93-O93-Q93-R93,2)</f>
        <v/>
      </c>
      <c r="AH93" s="22">
        <f>IFERROR(INDEX(Agosto!$C$5:$C$173,MATCH(A93,Agosto!$A$5:$A$173,0)),"")</f>
        <v/>
      </c>
      <c r="AI93" s="23">
        <f>IF(AH93="","",S93/AH93-1)</f>
        <v/>
      </c>
      <c r="AJ93" s="4">
        <f>CHAR(65+MOD(SUMPRODUCT(SUMIF('Codice fiscale'!$A$5:$A$40,MID(C93,{1,3,5,7,9,11,13,15},1),'Codice fiscale'!$B$5:$B$40))+SUMPRODUCT(SUMIF('Codice fiscale'!$A$5:$A$40,MID(C93,{2,4,6,8,10,12,14},1),'Codice fiscale'!$C$5:$C$40)),26))</f>
        <v/>
      </c>
      <c r="AK93" s="4">
        <f>IF(ABS(I93-X93)&gt;Parametri!$C$11,"ERRORE","OK")</f>
        <v/>
      </c>
      <c r="AL93" s="4">
        <f>IF(ABS(K93-AA93)&gt;Parametri!$C$11,"ERRORE","OK")</f>
        <v/>
      </c>
      <c r="AM93" s="4">
        <f>IF(ABS(O93-AB93)&gt;Parametri!$C$11,"ERRORE","OK")</f>
        <v/>
      </c>
      <c r="AN93" s="4">
        <f>IF(ABS(T93-AC93)&gt;Parametri!$C$11,"ERRORE","OK")</f>
        <v/>
      </c>
      <c r="AO93" s="4">
        <f>IF(ABS(W93-AE93)&gt;Parametri!$C$12,"ERRORE","OK")</f>
        <v/>
      </c>
      <c r="AP93" s="4">
        <f>IF(OR(ABS(N93-AF93)&gt;Parametri!$C$11,ABS(S93-AG93)&gt;Parametri!$C$11),"ERRORE","OK")</f>
        <v/>
      </c>
      <c r="AQ93" s="4">
        <f>IF(AI93="","OK",IF(AND(ABS(AI93)&gt;Parametri!$C$10,G93=""),"ERRORE","OK"))</f>
        <v/>
      </c>
      <c r="AR93" s="4">
        <f>IF(AND(LEN(C93)=16,RIGHT(C93,1)=AJ93),"OK","ERRORE")</f>
        <v/>
      </c>
      <c r="AS93" s="12">
        <f>COUNTIF(AK93:AR93,"ERRORE")</f>
        <v/>
      </c>
    </row>
    <row r="94">
      <c r="A94" s="15" t="inlineStr">
        <is>
          <t>B090</t>
        </is>
      </c>
      <c r="B94" s="15" t="inlineStr">
        <is>
          <t>B</t>
        </is>
      </c>
      <c r="C94" s="15" t="inlineStr">
        <is>
          <t>ZBLRSC80A44Z241W</t>
        </is>
      </c>
      <c r="D94" s="15" t="inlineStr">
        <is>
          <t>2</t>
        </is>
      </c>
      <c r="E94" s="16" t="n">
        <v>38577</v>
      </c>
      <c r="F94" s="17" t="n">
        <v>1</v>
      </c>
      <c r="G94" s="15" t="inlineStr"/>
      <c r="H94" s="15" t="b">
        <v>1</v>
      </c>
      <c r="I94" s="17" t="n">
        <v>2233.6</v>
      </c>
      <c r="J94" s="15" t="n">
        <v>7</v>
      </c>
      <c r="K94" s="17" t="n">
        <v>159.81</v>
      </c>
      <c r="L94" s="17" t="n">
        <v>0</v>
      </c>
      <c r="M94" s="17" t="n">
        <v>1059.83</v>
      </c>
      <c r="N94" s="17" t="n">
        <v>3453.24</v>
      </c>
      <c r="O94" s="17" t="n">
        <v>317.35</v>
      </c>
      <c r="P94" s="17" t="n">
        <v>3135.89</v>
      </c>
      <c r="Q94" s="17" t="n">
        <v>714.03</v>
      </c>
      <c r="R94" s="17" t="n">
        <v>47.04</v>
      </c>
      <c r="S94" s="17" t="n">
        <v>2374.82</v>
      </c>
      <c r="T94" s="17" t="n">
        <v>206.84</v>
      </c>
      <c r="U94" s="18" t="n">
        <v>2.1667</v>
      </c>
      <c r="V94" s="18" t="n">
        <v>0</v>
      </c>
      <c r="W94" s="18" t="n">
        <v>8.088699999999999</v>
      </c>
      <c r="X94" s="19">
        <f>ROUND(INDEX(CCNL!$F$5:$F$12,MATCH(D94,CCNL!$A$5:$A$12,0))*F94,2)</f>
        <v/>
      </c>
      <c r="Y94" s="4">
        <f>(YEAR(Parametri!$C$5)*12+MONTH(Parametri!$C$5))-(YEAR(E94)*12+MONTH(E94))</f>
        <v/>
      </c>
      <c r="Z94" s="4">
        <f>MIN(Parametri!$C$13,MAX(0,INT((Y94-1)/36)))</f>
        <v/>
      </c>
      <c r="AA94" s="19">
        <f>ROUND(INDEX(CCNL!$I$5:$I$12,MATCH(D94,CCNL!$A$5:$A$12,0))*Z94*F94,2)</f>
        <v/>
      </c>
      <c r="AB94" s="19">
        <f>ROUND(N94*Parametri!$C$6,2)</f>
        <v/>
      </c>
      <c r="AC94" s="19">
        <f>ROUND((I94+K94+L94)*Parametri!$C$8/Parametri!$C$7/12,2)</f>
        <v/>
      </c>
      <c r="AD94" s="20">
        <f>IFERROR(INDEX(Agosto!$D$5:$D$173,MATCH(A94,Agosto!$A$5:$A$173,0)),0)</f>
        <v/>
      </c>
      <c r="AE94" s="21">
        <f>ROUND(AD94+ROUND(Parametri!$C$9/12,4)-V94,4)</f>
        <v/>
      </c>
      <c r="AF94" s="19">
        <f>ROUND(I94+K94+L94+M94,2)</f>
        <v/>
      </c>
      <c r="AG94" s="19">
        <f>ROUND(N94-O94-Q94-R94,2)</f>
        <v/>
      </c>
      <c r="AH94" s="22">
        <f>IFERROR(INDEX(Agosto!$C$5:$C$173,MATCH(A94,Agosto!$A$5:$A$173,0)),"")</f>
        <v/>
      </c>
      <c r="AI94" s="23">
        <f>IF(AH94="","",S94/AH94-1)</f>
        <v/>
      </c>
      <c r="AJ94" s="4">
        <f>CHAR(65+MOD(SUMPRODUCT(SUMIF('Codice fiscale'!$A$5:$A$40,MID(C94,{1,3,5,7,9,11,13,15},1),'Codice fiscale'!$B$5:$B$40))+SUMPRODUCT(SUMIF('Codice fiscale'!$A$5:$A$40,MID(C94,{2,4,6,8,10,12,14},1),'Codice fiscale'!$C$5:$C$40)),26))</f>
        <v/>
      </c>
      <c r="AK94" s="4">
        <f>IF(ABS(I94-X94)&gt;Parametri!$C$11,"ERRORE","OK")</f>
        <v/>
      </c>
      <c r="AL94" s="4">
        <f>IF(ABS(K94-AA94)&gt;Parametri!$C$11,"ERRORE","OK")</f>
        <v/>
      </c>
      <c r="AM94" s="4">
        <f>IF(ABS(O94-AB94)&gt;Parametri!$C$11,"ERRORE","OK")</f>
        <v/>
      </c>
      <c r="AN94" s="4">
        <f>IF(ABS(T94-AC94)&gt;Parametri!$C$11,"ERRORE","OK")</f>
        <v/>
      </c>
      <c r="AO94" s="4">
        <f>IF(ABS(W94-AE94)&gt;Parametri!$C$12,"ERRORE","OK")</f>
        <v/>
      </c>
      <c r="AP94" s="4">
        <f>IF(OR(ABS(N94-AF94)&gt;Parametri!$C$11,ABS(S94-AG94)&gt;Parametri!$C$11),"ERRORE","OK")</f>
        <v/>
      </c>
      <c r="AQ94" s="4">
        <f>IF(AI94="","OK",IF(AND(ABS(AI94)&gt;Parametri!$C$10,G94=""),"ERRORE","OK"))</f>
        <v/>
      </c>
      <c r="AR94" s="4">
        <f>IF(AND(LEN(C94)=16,RIGHT(C94,1)=AJ94),"OK","ERRORE")</f>
        <v/>
      </c>
      <c r="AS94" s="12">
        <f>COUNTIF(AK94:AR94,"ERRORE")</f>
        <v/>
      </c>
    </row>
    <row r="95">
      <c r="A95" s="15" t="inlineStr">
        <is>
          <t>B091</t>
        </is>
      </c>
      <c r="B95" s="15" t="inlineStr">
        <is>
          <t>B</t>
        </is>
      </c>
      <c r="C95" s="15" t="inlineStr">
        <is>
          <t>NPLVVZ78B50Z170D</t>
        </is>
      </c>
      <c r="D95" s="15" t="inlineStr">
        <is>
          <t>5</t>
        </is>
      </c>
      <c r="E95" s="16" t="n">
        <v>45163</v>
      </c>
      <c r="F95" s="17" t="n">
        <v>1</v>
      </c>
      <c r="G95" s="15" t="inlineStr"/>
      <c r="H95" s="15" t="b">
        <v>1</v>
      </c>
      <c r="I95" s="17" t="n">
        <v>1658.01</v>
      </c>
      <c r="J95" s="15" t="n">
        <v>1</v>
      </c>
      <c r="K95" s="17" t="n">
        <v>20.3</v>
      </c>
      <c r="L95" s="17" t="n">
        <v>50</v>
      </c>
      <c r="M95" s="17" t="n">
        <v>0</v>
      </c>
      <c r="N95" s="17" t="n">
        <v>1728.31</v>
      </c>
      <c r="O95" s="17" t="n">
        <v>158.83</v>
      </c>
      <c r="P95" s="17" t="n">
        <v>1569.48</v>
      </c>
      <c r="Q95" s="17" t="n">
        <v>210.84</v>
      </c>
      <c r="R95" s="17" t="n">
        <v>23.54</v>
      </c>
      <c r="S95" s="17" t="n">
        <v>1335.1</v>
      </c>
      <c r="T95" s="17" t="n">
        <v>149.36</v>
      </c>
      <c r="U95" s="18" t="n">
        <v>2.1667</v>
      </c>
      <c r="V95" s="18" t="n">
        <v>1</v>
      </c>
      <c r="W95" s="18" t="n">
        <v>15.6744</v>
      </c>
      <c r="X95" s="19">
        <f>ROUND(INDEX(CCNL!$F$5:$F$12,MATCH(D95,CCNL!$A$5:$A$12,0))*F95,2)</f>
        <v/>
      </c>
      <c r="Y95" s="4">
        <f>(YEAR(Parametri!$C$5)*12+MONTH(Parametri!$C$5))-(YEAR(E95)*12+MONTH(E95))</f>
        <v/>
      </c>
      <c r="Z95" s="4">
        <f>MIN(Parametri!$C$13,MAX(0,INT((Y95-1)/36)))</f>
        <v/>
      </c>
      <c r="AA95" s="19">
        <f>ROUND(INDEX(CCNL!$I$5:$I$12,MATCH(D95,CCNL!$A$5:$A$12,0))*Z95*F95,2)</f>
        <v/>
      </c>
      <c r="AB95" s="19">
        <f>ROUND(N95*Parametri!$C$6,2)</f>
        <v/>
      </c>
      <c r="AC95" s="19">
        <f>ROUND((I95+K95+L95)*Parametri!$C$8/Parametri!$C$7/12,2)</f>
        <v/>
      </c>
      <c r="AD95" s="20">
        <f>IFERROR(INDEX(Agosto!$D$5:$D$173,MATCH(A95,Agosto!$A$5:$A$173,0)),0)</f>
        <v/>
      </c>
      <c r="AE95" s="21">
        <f>ROUND(AD95+ROUND(Parametri!$C$9/12,4)-V95,4)</f>
        <v/>
      </c>
      <c r="AF95" s="19">
        <f>ROUND(I95+K95+L95+M95,2)</f>
        <v/>
      </c>
      <c r="AG95" s="19">
        <f>ROUND(N95-O95-Q95-R95,2)</f>
        <v/>
      </c>
      <c r="AH95" s="22">
        <f>IFERROR(INDEX(Agosto!$C$5:$C$173,MATCH(A95,Agosto!$A$5:$A$173,0)),"")</f>
        <v/>
      </c>
      <c r="AI95" s="23">
        <f>IF(AH95="","",S95/AH95-1)</f>
        <v/>
      </c>
      <c r="AJ95" s="4">
        <f>CHAR(65+MOD(SUMPRODUCT(SUMIF('Codice fiscale'!$A$5:$A$40,MID(C95,{1,3,5,7,9,11,13,15},1),'Codice fiscale'!$B$5:$B$40))+SUMPRODUCT(SUMIF('Codice fiscale'!$A$5:$A$40,MID(C95,{2,4,6,8,10,12,14},1),'Codice fiscale'!$C$5:$C$40)),26))</f>
        <v/>
      </c>
      <c r="AK95" s="4">
        <f>IF(ABS(I95-X95)&gt;Parametri!$C$11,"ERRORE","OK")</f>
        <v/>
      </c>
      <c r="AL95" s="4">
        <f>IF(ABS(K95-AA95)&gt;Parametri!$C$11,"ERRORE","OK")</f>
        <v/>
      </c>
      <c r="AM95" s="4">
        <f>IF(ABS(O95-AB95)&gt;Parametri!$C$11,"ERRORE","OK")</f>
        <v/>
      </c>
      <c r="AN95" s="4">
        <f>IF(ABS(T95-AC95)&gt;Parametri!$C$11,"ERRORE","OK")</f>
        <v/>
      </c>
      <c r="AO95" s="4">
        <f>IF(ABS(W95-AE95)&gt;Parametri!$C$12,"ERRORE","OK")</f>
        <v/>
      </c>
      <c r="AP95" s="4">
        <f>IF(OR(ABS(N95-AF95)&gt;Parametri!$C$11,ABS(S95-AG95)&gt;Parametri!$C$11),"ERRORE","OK")</f>
        <v/>
      </c>
      <c r="AQ95" s="4">
        <f>IF(AI95="","OK",IF(AND(ABS(AI95)&gt;Parametri!$C$10,G95=""),"ERRORE","OK"))</f>
        <v/>
      </c>
      <c r="AR95" s="4">
        <f>IF(AND(LEN(C95)=16,RIGHT(C95,1)=AJ95),"OK","ERRORE")</f>
        <v/>
      </c>
      <c r="AS95" s="12">
        <f>COUNTIF(AK95:AR95,"ERRORE")</f>
        <v/>
      </c>
    </row>
    <row r="96">
      <c r="A96" s="15" t="inlineStr">
        <is>
          <t>B092</t>
        </is>
      </c>
      <c r="B96" s="15" t="inlineStr">
        <is>
          <t>B</t>
        </is>
      </c>
      <c r="C96" s="15" t="inlineStr">
        <is>
          <t>VDLNCS78S44Z169Z</t>
        </is>
      </c>
      <c r="D96" s="15" t="inlineStr">
        <is>
          <t>5</t>
        </is>
      </c>
      <c r="E96" s="16" t="n">
        <v>39952</v>
      </c>
      <c r="F96" s="17" t="n">
        <v>1</v>
      </c>
      <c r="G96" s="15" t="inlineStr"/>
      <c r="H96" s="15" t="b">
        <v>1</v>
      </c>
      <c r="I96" s="17" t="n">
        <v>1658.01</v>
      </c>
      <c r="J96" s="15" t="n">
        <v>5</v>
      </c>
      <c r="K96" s="17" t="n">
        <v>101.5</v>
      </c>
      <c r="L96" s="17" t="n">
        <v>50</v>
      </c>
      <c r="M96" s="17" t="n">
        <v>0</v>
      </c>
      <c r="N96" s="17" t="n">
        <v>1809.51</v>
      </c>
      <c r="O96" s="17" t="n">
        <v>166.29</v>
      </c>
      <c r="P96" s="17" t="n">
        <v>1643.22</v>
      </c>
      <c r="Q96" s="17" t="n">
        <v>230.75</v>
      </c>
      <c r="R96" s="17" t="n">
        <v>24.65</v>
      </c>
      <c r="S96" s="17" t="n">
        <v>1387.82</v>
      </c>
      <c r="T96" s="17" t="n">
        <v>156.38</v>
      </c>
      <c r="U96" s="18" t="n">
        <v>2.1667</v>
      </c>
      <c r="V96" s="18" t="n">
        <v>1</v>
      </c>
      <c r="W96" s="18" t="n">
        <v>30.8123</v>
      </c>
      <c r="X96" s="19">
        <f>ROUND(INDEX(CCNL!$F$5:$F$12,MATCH(D96,CCNL!$A$5:$A$12,0))*F96,2)</f>
        <v/>
      </c>
      <c r="Y96" s="4">
        <f>(YEAR(Parametri!$C$5)*12+MONTH(Parametri!$C$5))-(YEAR(E96)*12+MONTH(E96))</f>
        <v/>
      </c>
      <c r="Z96" s="4">
        <f>MIN(Parametri!$C$13,MAX(0,INT((Y96-1)/36)))</f>
        <v/>
      </c>
      <c r="AA96" s="19">
        <f>ROUND(INDEX(CCNL!$I$5:$I$12,MATCH(D96,CCNL!$A$5:$A$12,0))*Z96*F96,2)</f>
        <v/>
      </c>
      <c r="AB96" s="19">
        <f>ROUND(N96*Parametri!$C$6,2)</f>
        <v/>
      </c>
      <c r="AC96" s="19">
        <f>ROUND((I96+K96+L96)*Parametri!$C$8/Parametri!$C$7/12,2)</f>
        <v/>
      </c>
      <c r="AD96" s="20">
        <f>IFERROR(INDEX(Agosto!$D$5:$D$173,MATCH(A96,Agosto!$A$5:$A$173,0)),0)</f>
        <v/>
      </c>
      <c r="AE96" s="21">
        <f>ROUND(AD96+ROUND(Parametri!$C$9/12,4)-V96,4)</f>
        <v/>
      </c>
      <c r="AF96" s="19">
        <f>ROUND(I96+K96+L96+M96,2)</f>
        <v/>
      </c>
      <c r="AG96" s="19">
        <f>ROUND(N96-O96-Q96-R96,2)</f>
        <v/>
      </c>
      <c r="AH96" s="22">
        <f>IFERROR(INDEX(Agosto!$C$5:$C$173,MATCH(A96,Agosto!$A$5:$A$173,0)),"")</f>
        <v/>
      </c>
      <c r="AI96" s="23">
        <f>IF(AH96="","",S96/AH96-1)</f>
        <v/>
      </c>
      <c r="AJ96" s="4">
        <f>CHAR(65+MOD(SUMPRODUCT(SUMIF('Codice fiscale'!$A$5:$A$40,MID(C96,{1,3,5,7,9,11,13,15},1),'Codice fiscale'!$B$5:$B$40))+SUMPRODUCT(SUMIF('Codice fiscale'!$A$5:$A$40,MID(C96,{2,4,6,8,10,12,14},1),'Codice fiscale'!$C$5:$C$40)),26))</f>
        <v/>
      </c>
      <c r="AK96" s="4">
        <f>IF(ABS(I96-X96)&gt;Parametri!$C$11,"ERRORE","OK")</f>
        <v/>
      </c>
      <c r="AL96" s="4">
        <f>IF(ABS(K96-AA96)&gt;Parametri!$C$11,"ERRORE","OK")</f>
        <v/>
      </c>
      <c r="AM96" s="4">
        <f>IF(ABS(O96-AB96)&gt;Parametri!$C$11,"ERRORE","OK")</f>
        <v/>
      </c>
      <c r="AN96" s="4">
        <f>IF(ABS(T96-AC96)&gt;Parametri!$C$11,"ERRORE","OK")</f>
        <v/>
      </c>
      <c r="AO96" s="4">
        <f>IF(ABS(W96-AE96)&gt;Parametri!$C$12,"ERRORE","OK")</f>
        <v/>
      </c>
      <c r="AP96" s="4">
        <f>IF(OR(ABS(N96-AF96)&gt;Parametri!$C$11,ABS(S96-AG96)&gt;Parametri!$C$11),"ERRORE","OK")</f>
        <v/>
      </c>
      <c r="AQ96" s="4">
        <f>IF(AI96="","OK",IF(AND(ABS(AI96)&gt;Parametri!$C$10,G96=""),"ERRORE","OK"))</f>
        <v/>
      </c>
      <c r="AR96" s="4">
        <f>IF(AND(LEN(C96)=16,RIGHT(C96,1)=AJ96),"OK","ERRORE")</f>
        <v/>
      </c>
      <c r="AS96" s="12">
        <f>COUNTIF(AK96:AR96,"ERRORE")</f>
        <v/>
      </c>
    </row>
    <row r="97">
      <c r="A97" s="15" t="inlineStr">
        <is>
          <t>C093</t>
        </is>
      </c>
      <c r="B97" s="15" t="inlineStr">
        <is>
          <t>C</t>
        </is>
      </c>
      <c r="C97" s="15" t="inlineStr">
        <is>
          <t>GDGNMV96A58Z152Q</t>
        </is>
      </c>
      <c r="D97" s="15" t="inlineStr">
        <is>
          <t>3</t>
        </is>
      </c>
      <c r="E97" s="16" t="n">
        <v>43945</v>
      </c>
      <c r="F97" s="17" t="n">
        <v>1</v>
      </c>
      <c r="G97" s="15" t="inlineStr"/>
      <c r="H97" s="15" t="b">
        <v>1</v>
      </c>
      <c r="I97" s="17" t="n">
        <v>1981.84</v>
      </c>
      <c r="J97" s="15" t="n">
        <v>2</v>
      </c>
      <c r="K97" s="17" t="n">
        <v>43.9</v>
      </c>
      <c r="L97" s="17" t="n">
        <v>0</v>
      </c>
      <c r="M97" s="17" t="n">
        <v>0</v>
      </c>
      <c r="N97" s="17" t="n">
        <v>2025.74</v>
      </c>
      <c r="O97" s="17" t="n">
        <v>186.17</v>
      </c>
      <c r="P97" s="17" t="n">
        <v>1839.57</v>
      </c>
      <c r="Q97" s="17" t="n">
        <v>283.77</v>
      </c>
      <c r="R97" s="17" t="n">
        <v>27.59</v>
      </c>
      <c r="S97" s="17" t="n">
        <v>1628.21</v>
      </c>
      <c r="T97" s="17" t="n">
        <v>175.06</v>
      </c>
      <c r="U97" s="18" t="n">
        <v>2.1667</v>
      </c>
      <c r="V97" s="18" t="n">
        <v>0</v>
      </c>
      <c r="W97" s="18" t="n">
        <v>22.4299</v>
      </c>
      <c r="X97" s="19">
        <f>ROUND(INDEX(CCNL!$F$5:$F$12,MATCH(D97,CCNL!$A$5:$A$12,0))*F97,2)</f>
        <v/>
      </c>
      <c r="Y97" s="4">
        <f>(YEAR(Parametri!$C$5)*12+MONTH(Parametri!$C$5))-(YEAR(E97)*12+MONTH(E97))</f>
        <v/>
      </c>
      <c r="Z97" s="4">
        <f>MIN(Parametri!$C$13,MAX(0,INT((Y97-1)/36)))</f>
        <v/>
      </c>
      <c r="AA97" s="19">
        <f>ROUND(INDEX(CCNL!$I$5:$I$12,MATCH(D97,CCNL!$A$5:$A$12,0))*Z97*F97,2)</f>
        <v/>
      </c>
      <c r="AB97" s="19">
        <f>ROUND(N97*Parametri!$C$6,2)</f>
        <v/>
      </c>
      <c r="AC97" s="19">
        <f>ROUND((I97+K97+L97)*Parametri!$C$8/Parametri!$C$7/12,2)</f>
        <v/>
      </c>
      <c r="AD97" s="20">
        <f>IFERROR(INDEX(Agosto!$D$5:$D$173,MATCH(A97,Agosto!$A$5:$A$173,0)),0)</f>
        <v/>
      </c>
      <c r="AE97" s="21">
        <f>ROUND(AD97+ROUND(Parametri!$C$9/12,4)-V97,4)</f>
        <v/>
      </c>
      <c r="AF97" s="19">
        <f>ROUND(I97+K97+L97+M97,2)</f>
        <v/>
      </c>
      <c r="AG97" s="19">
        <f>ROUND(N97-O97-Q97-R97,2)</f>
        <v/>
      </c>
      <c r="AH97" s="22">
        <f>IFERROR(INDEX(Agosto!$C$5:$C$173,MATCH(A97,Agosto!$A$5:$A$173,0)),"")</f>
        <v/>
      </c>
      <c r="AI97" s="23">
        <f>IF(AH97="","",S97/AH97-1)</f>
        <v/>
      </c>
      <c r="AJ97" s="4">
        <f>CHAR(65+MOD(SUMPRODUCT(SUMIF('Codice fiscale'!$A$5:$A$40,MID(C97,{1,3,5,7,9,11,13,15},1),'Codice fiscale'!$B$5:$B$40))+SUMPRODUCT(SUMIF('Codice fiscale'!$A$5:$A$40,MID(C97,{2,4,6,8,10,12,14},1),'Codice fiscale'!$C$5:$C$40)),26))</f>
        <v/>
      </c>
      <c r="AK97" s="4">
        <f>IF(ABS(I97-X97)&gt;Parametri!$C$11,"ERRORE","OK")</f>
        <v/>
      </c>
      <c r="AL97" s="4">
        <f>IF(ABS(K97-AA97)&gt;Parametri!$C$11,"ERRORE","OK")</f>
        <v/>
      </c>
      <c r="AM97" s="4">
        <f>IF(ABS(O97-AB97)&gt;Parametri!$C$11,"ERRORE","OK")</f>
        <v/>
      </c>
      <c r="AN97" s="4">
        <f>IF(ABS(T97-AC97)&gt;Parametri!$C$11,"ERRORE","OK")</f>
        <v/>
      </c>
      <c r="AO97" s="4">
        <f>IF(ABS(W97-AE97)&gt;Parametri!$C$12,"ERRORE","OK")</f>
        <v/>
      </c>
      <c r="AP97" s="4">
        <f>IF(OR(ABS(N97-AF97)&gt;Parametri!$C$11,ABS(S97-AG97)&gt;Parametri!$C$11),"ERRORE","OK")</f>
        <v/>
      </c>
      <c r="AQ97" s="4">
        <f>IF(AI97="","OK",IF(AND(ABS(AI97)&gt;Parametri!$C$10,G97=""),"ERRORE","OK"))</f>
        <v/>
      </c>
      <c r="AR97" s="4">
        <f>IF(AND(LEN(C97)=16,RIGHT(C97,1)=AJ97),"OK","ERRORE")</f>
        <v/>
      </c>
      <c r="AS97" s="12">
        <f>COUNTIF(AK97:AR97,"ERRORE")</f>
        <v/>
      </c>
    </row>
    <row r="98">
      <c r="A98" s="15" t="inlineStr">
        <is>
          <t>C094</t>
        </is>
      </c>
      <c r="B98" s="15" t="inlineStr">
        <is>
          <t>C</t>
        </is>
      </c>
      <c r="C98" s="15" t="inlineStr">
        <is>
          <t>CGVMCF88B56Z203X</t>
        </is>
      </c>
      <c r="D98" s="15" t="inlineStr">
        <is>
          <t>3</t>
        </is>
      </c>
      <c r="E98" s="16" t="n">
        <v>42951</v>
      </c>
      <c r="F98" s="17" t="n">
        <v>0.5</v>
      </c>
      <c r="G98" s="15" t="inlineStr"/>
      <c r="H98" s="15" t="b">
        <v>0</v>
      </c>
      <c r="I98" s="17" t="n">
        <v>990.92</v>
      </c>
      <c r="J98" s="15" t="n">
        <v>3</v>
      </c>
      <c r="K98" s="17" t="n">
        <v>32.93</v>
      </c>
      <c r="L98" s="17" t="n">
        <v>0</v>
      </c>
      <c r="M98" s="17" t="n">
        <v>0</v>
      </c>
      <c r="N98" s="17" t="n">
        <v>1023.85</v>
      </c>
      <c r="O98" s="17" t="n">
        <v>94.09</v>
      </c>
      <c r="P98" s="17" t="n">
        <v>929.76</v>
      </c>
      <c r="Q98" s="17" t="n">
        <v>50.93</v>
      </c>
      <c r="R98" s="17" t="n">
        <v>13.95</v>
      </c>
      <c r="S98" s="17" t="n">
        <v>864.88</v>
      </c>
      <c r="T98" s="17" t="n">
        <v>88.48</v>
      </c>
      <c r="U98" s="18" t="n">
        <v>2.1667</v>
      </c>
      <c r="V98" s="18" t="n">
        <v>0</v>
      </c>
      <c r="W98" s="18" t="n">
        <v>16.4023</v>
      </c>
      <c r="X98" s="19">
        <f>ROUND(INDEX(CCNL!$F$5:$F$12,MATCH(D98,CCNL!$A$5:$A$12,0))*F98,2)</f>
        <v/>
      </c>
      <c r="Y98" s="4">
        <f>(YEAR(Parametri!$C$5)*12+MONTH(Parametri!$C$5))-(YEAR(E98)*12+MONTH(E98))</f>
        <v/>
      </c>
      <c r="Z98" s="4">
        <f>MIN(Parametri!$C$13,MAX(0,INT((Y98-1)/36)))</f>
        <v/>
      </c>
      <c r="AA98" s="19">
        <f>ROUND(INDEX(CCNL!$I$5:$I$12,MATCH(D98,CCNL!$A$5:$A$12,0))*Z98*F98,2)</f>
        <v/>
      </c>
      <c r="AB98" s="19">
        <f>ROUND(N98*Parametri!$C$6,2)</f>
        <v/>
      </c>
      <c r="AC98" s="19">
        <f>ROUND((I98+K98+L98)*Parametri!$C$8/Parametri!$C$7/12,2)</f>
        <v/>
      </c>
      <c r="AD98" s="20">
        <f>IFERROR(INDEX(Agosto!$D$5:$D$173,MATCH(A98,Agosto!$A$5:$A$173,0)),0)</f>
        <v/>
      </c>
      <c r="AE98" s="21">
        <f>ROUND(AD98+ROUND(Parametri!$C$9/12,4)-V98,4)</f>
        <v/>
      </c>
      <c r="AF98" s="19">
        <f>ROUND(I98+K98+L98+M98,2)</f>
        <v/>
      </c>
      <c r="AG98" s="19">
        <f>ROUND(N98-O98-Q98-R98,2)</f>
        <v/>
      </c>
      <c r="AH98" s="22">
        <f>IFERROR(INDEX(Agosto!$C$5:$C$173,MATCH(A98,Agosto!$A$5:$A$173,0)),"")</f>
        <v/>
      </c>
      <c r="AI98" s="23">
        <f>IF(AH98="","",S98/AH98-1)</f>
        <v/>
      </c>
      <c r="AJ98" s="4">
        <f>CHAR(65+MOD(SUMPRODUCT(SUMIF('Codice fiscale'!$A$5:$A$40,MID(C98,{1,3,5,7,9,11,13,15},1),'Codice fiscale'!$B$5:$B$40))+SUMPRODUCT(SUMIF('Codice fiscale'!$A$5:$A$40,MID(C98,{2,4,6,8,10,12,14},1),'Codice fiscale'!$C$5:$C$40)),26))</f>
        <v/>
      </c>
      <c r="AK98" s="4">
        <f>IF(ABS(I98-X98)&gt;Parametri!$C$11,"ERRORE","OK")</f>
        <v/>
      </c>
      <c r="AL98" s="4">
        <f>IF(ABS(K98-AA98)&gt;Parametri!$C$11,"ERRORE","OK")</f>
        <v/>
      </c>
      <c r="AM98" s="4">
        <f>IF(ABS(O98-AB98)&gt;Parametri!$C$11,"ERRORE","OK")</f>
        <v/>
      </c>
      <c r="AN98" s="4">
        <f>IF(ABS(T98-AC98)&gt;Parametri!$C$11,"ERRORE","OK")</f>
        <v/>
      </c>
      <c r="AO98" s="4">
        <f>IF(ABS(W98-AE98)&gt;Parametri!$C$12,"ERRORE","OK")</f>
        <v/>
      </c>
      <c r="AP98" s="4">
        <f>IF(OR(ABS(N98-AF98)&gt;Parametri!$C$11,ABS(S98-AG98)&gt;Parametri!$C$11),"ERRORE","OK")</f>
        <v/>
      </c>
      <c r="AQ98" s="4">
        <f>IF(AI98="","OK",IF(AND(ABS(AI98)&gt;Parametri!$C$10,G98=""),"ERRORE","OK"))</f>
        <v/>
      </c>
      <c r="AR98" s="4">
        <f>IF(AND(LEN(C98)=16,RIGHT(C98,1)=AJ98),"OK","ERRORE")</f>
        <v/>
      </c>
      <c r="AS98" s="12">
        <f>COUNTIF(AK98:AR98,"ERRORE")</f>
        <v/>
      </c>
    </row>
    <row r="99">
      <c r="A99" s="15" t="inlineStr">
        <is>
          <t>C095</t>
        </is>
      </c>
      <c r="B99" s="15" t="inlineStr">
        <is>
          <t>C</t>
        </is>
      </c>
      <c r="C99" s="15" t="inlineStr">
        <is>
          <t>SLPTRF82D41Z121N</t>
        </is>
      </c>
      <c r="D99" s="15" t="inlineStr">
        <is>
          <t>3</t>
        </is>
      </c>
      <c r="E99" s="16" t="n">
        <v>44351</v>
      </c>
      <c r="F99" s="17" t="n">
        <v>0.5</v>
      </c>
      <c r="G99" s="15" t="inlineStr"/>
      <c r="H99" s="15" t="b">
        <v>1</v>
      </c>
      <c r="I99" s="17" t="n">
        <v>990.92</v>
      </c>
      <c r="J99" s="15" t="n">
        <v>1</v>
      </c>
      <c r="K99" s="17" t="n">
        <v>10.98</v>
      </c>
      <c r="L99" s="17" t="n">
        <v>75</v>
      </c>
      <c r="M99" s="17" t="n">
        <v>0</v>
      </c>
      <c r="N99" s="17" t="n">
        <v>1076.9</v>
      </c>
      <c r="O99" s="17" t="n">
        <v>98.97</v>
      </c>
      <c r="P99" s="17" t="n">
        <v>977.9299999999999</v>
      </c>
      <c r="Q99" s="17" t="n">
        <v>62.01</v>
      </c>
      <c r="R99" s="17" t="n">
        <v>14.67</v>
      </c>
      <c r="S99" s="17" t="n">
        <v>901.25</v>
      </c>
      <c r="T99" s="17" t="n">
        <v>93.06999999999999</v>
      </c>
      <c r="U99" s="18" t="n">
        <v>2.1667</v>
      </c>
      <c r="V99" s="18" t="n">
        <v>0</v>
      </c>
      <c r="W99" s="18" t="n">
        <v>6.6042</v>
      </c>
      <c r="X99" s="19">
        <f>ROUND(INDEX(CCNL!$F$5:$F$12,MATCH(D99,CCNL!$A$5:$A$12,0))*F99,2)</f>
        <v/>
      </c>
      <c r="Y99" s="4">
        <f>(YEAR(Parametri!$C$5)*12+MONTH(Parametri!$C$5))-(YEAR(E99)*12+MONTH(E99))</f>
        <v/>
      </c>
      <c r="Z99" s="4">
        <f>MIN(Parametri!$C$13,MAX(0,INT((Y99-1)/36)))</f>
        <v/>
      </c>
      <c r="AA99" s="19">
        <f>ROUND(INDEX(CCNL!$I$5:$I$12,MATCH(D99,CCNL!$A$5:$A$12,0))*Z99*F99,2)</f>
        <v/>
      </c>
      <c r="AB99" s="19">
        <f>ROUND(N99*Parametri!$C$6,2)</f>
        <v/>
      </c>
      <c r="AC99" s="19">
        <f>ROUND((I99+K99+L99)*Parametri!$C$8/Parametri!$C$7/12,2)</f>
        <v/>
      </c>
      <c r="AD99" s="20">
        <f>IFERROR(INDEX(Agosto!$D$5:$D$173,MATCH(A99,Agosto!$A$5:$A$173,0)),0)</f>
        <v/>
      </c>
      <c r="AE99" s="21">
        <f>ROUND(AD99+ROUND(Parametri!$C$9/12,4)-V99,4)</f>
        <v/>
      </c>
      <c r="AF99" s="19">
        <f>ROUND(I99+K99+L99+M99,2)</f>
        <v/>
      </c>
      <c r="AG99" s="19">
        <f>ROUND(N99-O99-Q99-R99,2)</f>
        <v/>
      </c>
      <c r="AH99" s="22">
        <f>IFERROR(INDEX(Agosto!$C$5:$C$173,MATCH(A99,Agosto!$A$5:$A$173,0)),"")</f>
        <v/>
      </c>
      <c r="AI99" s="23">
        <f>IF(AH99="","",S99/AH99-1)</f>
        <v/>
      </c>
      <c r="AJ99" s="4">
        <f>CHAR(65+MOD(SUMPRODUCT(SUMIF('Codice fiscale'!$A$5:$A$40,MID(C99,{1,3,5,7,9,11,13,15},1),'Codice fiscale'!$B$5:$B$40))+SUMPRODUCT(SUMIF('Codice fiscale'!$A$5:$A$40,MID(C99,{2,4,6,8,10,12,14},1),'Codice fiscale'!$C$5:$C$40)),26))</f>
        <v/>
      </c>
      <c r="AK99" s="4">
        <f>IF(ABS(I99-X99)&gt;Parametri!$C$11,"ERRORE","OK")</f>
        <v/>
      </c>
      <c r="AL99" s="4">
        <f>IF(ABS(K99-AA99)&gt;Parametri!$C$11,"ERRORE","OK")</f>
        <v/>
      </c>
      <c r="AM99" s="4">
        <f>IF(ABS(O99-AB99)&gt;Parametri!$C$11,"ERRORE","OK")</f>
        <v/>
      </c>
      <c r="AN99" s="4">
        <f>IF(ABS(T99-AC99)&gt;Parametri!$C$11,"ERRORE","OK")</f>
        <v/>
      </c>
      <c r="AO99" s="4">
        <f>IF(ABS(W99-AE99)&gt;Parametri!$C$12,"ERRORE","OK")</f>
        <v/>
      </c>
      <c r="AP99" s="4">
        <f>IF(OR(ABS(N99-AF99)&gt;Parametri!$C$11,ABS(S99-AG99)&gt;Parametri!$C$11),"ERRORE","OK")</f>
        <v/>
      </c>
      <c r="AQ99" s="4">
        <f>IF(AI99="","OK",IF(AND(ABS(AI99)&gt;Parametri!$C$10,G99=""),"ERRORE","OK"))</f>
        <v/>
      </c>
      <c r="AR99" s="4">
        <f>IF(AND(LEN(C99)=16,RIGHT(C99,1)=AJ99),"OK","ERRORE")</f>
        <v/>
      </c>
      <c r="AS99" s="12">
        <f>COUNTIF(AK99:AR99,"ERRORE")</f>
        <v/>
      </c>
    </row>
    <row r="100">
      <c r="A100" s="15" t="inlineStr">
        <is>
          <t>C096</t>
        </is>
      </c>
      <c r="B100" s="15" t="inlineStr">
        <is>
          <t>C</t>
        </is>
      </c>
      <c r="C100" s="15" t="inlineStr">
        <is>
          <t>FPGPSP93S16Z276H</t>
        </is>
      </c>
      <c r="D100" s="15" t="inlineStr">
        <is>
          <t>4</t>
        </is>
      </c>
      <c r="E100" s="16" t="n">
        <v>42963</v>
      </c>
      <c r="F100" s="17" t="n">
        <v>1</v>
      </c>
      <c r="G100" s="15" t="inlineStr"/>
      <c r="H100" s="15" t="b">
        <v>0</v>
      </c>
      <c r="I100" s="17" t="n">
        <v>1781.68</v>
      </c>
      <c r="J100" s="15" t="n">
        <v>3</v>
      </c>
      <c r="K100" s="17" t="n">
        <v>61.98</v>
      </c>
      <c r="L100" s="17" t="n">
        <v>120</v>
      </c>
      <c r="M100" s="17" t="n">
        <v>0</v>
      </c>
      <c r="N100" s="17" t="n">
        <v>1963.66</v>
      </c>
      <c r="O100" s="17" t="n">
        <v>180.46</v>
      </c>
      <c r="P100" s="17" t="n">
        <v>1783.2</v>
      </c>
      <c r="Q100" s="17" t="n">
        <v>268.55</v>
      </c>
      <c r="R100" s="17" t="n">
        <v>26.75</v>
      </c>
      <c r="S100" s="17" t="n">
        <v>1487.9</v>
      </c>
      <c r="T100" s="17" t="n">
        <v>169.7</v>
      </c>
      <c r="U100" s="18" t="n">
        <v>2.1667</v>
      </c>
      <c r="V100" s="18" t="n">
        <v>1</v>
      </c>
      <c r="W100" s="18" t="n">
        <v>7.7279</v>
      </c>
      <c r="X100" s="19">
        <f>ROUND(INDEX(CCNL!$F$5:$F$12,MATCH(D100,CCNL!$A$5:$A$12,0))*F100,2)</f>
        <v/>
      </c>
      <c r="Y100" s="4">
        <f>(YEAR(Parametri!$C$5)*12+MONTH(Parametri!$C$5))-(YEAR(E100)*12+MONTH(E100))</f>
        <v/>
      </c>
      <c r="Z100" s="4">
        <f>MIN(Parametri!$C$13,MAX(0,INT((Y100-1)/36)))</f>
        <v/>
      </c>
      <c r="AA100" s="19">
        <f>ROUND(INDEX(CCNL!$I$5:$I$12,MATCH(D100,CCNL!$A$5:$A$12,0))*Z100*F100,2)</f>
        <v/>
      </c>
      <c r="AB100" s="19">
        <f>ROUND(N100*Parametri!$C$6,2)</f>
        <v/>
      </c>
      <c r="AC100" s="19">
        <f>ROUND((I100+K100+L100)*Parametri!$C$8/Parametri!$C$7/12,2)</f>
        <v/>
      </c>
      <c r="AD100" s="20">
        <f>IFERROR(INDEX(Agosto!$D$5:$D$173,MATCH(A100,Agosto!$A$5:$A$173,0)),0)</f>
        <v/>
      </c>
      <c r="AE100" s="21">
        <f>ROUND(AD100+ROUND(Parametri!$C$9/12,4)-V100,4)</f>
        <v/>
      </c>
      <c r="AF100" s="19">
        <f>ROUND(I100+K100+L100+M100,2)</f>
        <v/>
      </c>
      <c r="AG100" s="19">
        <f>ROUND(N100-O100-Q100-R100,2)</f>
        <v/>
      </c>
      <c r="AH100" s="22">
        <f>IFERROR(INDEX(Agosto!$C$5:$C$173,MATCH(A100,Agosto!$A$5:$A$173,0)),"")</f>
        <v/>
      </c>
      <c r="AI100" s="23">
        <f>IF(AH100="","",S100/AH100-1)</f>
        <v/>
      </c>
      <c r="AJ100" s="4">
        <f>CHAR(65+MOD(SUMPRODUCT(SUMIF('Codice fiscale'!$A$5:$A$40,MID(C100,{1,3,5,7,9,11,13,15},1),'Codice fiscale'!$B$5:$B$40))+SUMPRODUCT(SUMIF('Codice fiscale'!$A$5:$A$40,MID(C100,{2,4,6,8,10,12,14},1),'Codice fiscale'!$C$5:$C$40)),26))</f>
        <v/>
      </c>
      <c r="AK100" s="4">
        <f>IF(ABS(I100-X100)&gt;Parametri!$C$11,"ERRORE","OK")</f>
        <v/>
      </c>
      <c r="AL100" s="4">
        <f>IF(ABS(K100-AA100)&gt;Parametri!$C$11,"ERRORE","OK")</f>
        <v/>
      </c>
      <c r="AM100" s="4">
        <f>IF(ABS(O100-AB100)&gt;Parametri!$C$11,"ERRORE","OK")</f>
        <v/>
      </c>
      <c r="AN100" s="4">
        <f>IF(ABS(T100-AC100)&gt;Parametri!$C$11,"ERRORE","OK")</f>
        <v/>
      </c>
      <c r="AO100" s="4">
        <f>IF(ABS(W100-AE100)&gt;Parametri!$C$12,"ERRORE","OK")</f>
        <v/>
      </c>
      <c r="AP100" s="4">
        <f>IF(OR(ABS(N100-AF100)&gt;Parametri!$C$11,ABS(S100-AG100)&gt;Parametri!$C$11),"ERRORE","OK")</f>
        <v/>
      </c>
      <c r="AQ100" s="4">
        <f>IF(AI100="","OK",IF(AND(ABS(AI100)&gt;Parametri!$C$10,G100=""),"ERRORE","OK"))</f>
        <v/>
      </c>
      <c r="AR100" s="4">
        <f>IF(AND(LEN(C100)=16,RIGHT(C100,1)=AJ100),"OK","ERRORE")</f>
        <v/>
      </c>
      <c r="AS100" s="12">
        <f>COUNTIF(AK100:AR100,"ERRORE")</f>
        <v/>
      </c>
    </row>
    <row r="101">
      <c r="A101" s="15" t="inlineStr">
        <is>
          <t>C097</t>
        </is>
      </c>
      <c r="B101" s="15" t="inlineStr">
        <is>
          <t>C</t>
        </is>
      </c>
      <c r="C101" s="15" t="inlineStr">
        <is>
          <t>NDZSNM67S21Z161H</t>
        </is>
      </c>
      <c r="D101" s="15" t="inlineStr">
        <is>
          <t>6</t>
        </is>
      </c>
      <c r="E101" s="16" t="n">
        <v>35261</v>
      </c>
      <c r="F101" s="17" t="n">
        <v>1</v>
      </c>
      <c r="G101" s="15" t="inlineStr"/>
      <c r="H101" s="15" t="b">
        <v>0</v>
      </c>
      <c r="I101" s="17" t="n">
        <v>1539.7</v>
      </c>
      <c r="J101" s="15" t="n">
        <v>10</v>
      </c>
      <c r="K101" s="17" t="n">
        <v>197.3</v>
      </c>
      <c r="L101" s="17" t="n">
        <v>0</v>
      </c>
      <c r="M101" s="17" t="n">
        <v>0</v>
      </c>
      <c r="N101" s="17" t="n">
        <v>1737</v>
      </c>
      <c r="O101" s="17" t="n">
        <v>159.63</v>
      </c>
      <c r="P101" s="17" t="n">
        <v>1577.37</v>
      </c>
      <c r="Q101" s="17" t="n">
        <v>212.97</v>
      </c>
      <c r="R101" s="17" t="n">
        <v>23.66</v>
      </c>
      <c r="S101" s="17" t="n">
        <v>1340.74</v>
      </c>
      <c r="T101" s="17" t="n">
        <v>150.11</v>
      </c>
      <c r="U101" s="18" t="n">
        <v>2.1667</v>
      </c>
      <c r="V101" s="18" t="n">
        <v>0</v>
      </c>
      <c r="W101" s="18" t="n">
        <v>18.5937</v>
      </c>
      <c r="X101" s="19">
        <f>ROUND(INDEX(CCNL!$F$5:$F$12,MATCH(D101,CCNL!$A$5:$A$12,0))*F101,2)</f>
        <v/>
      </c>
      <c r="Y101" s="4">
        <f>(YEAR(Parametri!$C$5)*12+MONTH(Parametri!$C$5))-(YEAR(E101)*12+MONTH(E101))</f>
        <v/>
      </c>
      <c r="Z101" s="4">
        <f>MIN(Parametri!$C$13,MAX(0,INT((Y101-1)/36)))</f>
        <v/>
      </c>
      <c r="AA101" s="19">
        <f>ROUND(INDEX(CCNL!$I$5:$I$12,MATCH(D101,CCNL!$A$5:$A$12,0))*Z101*F101,2)</f>
        <v/>
      </c>
      <c r="AB101" s="19">
        <f>ROUND(N101*Parametri!$C$6,2)</f>
        <v/>
      </c>
      <c r="AC101" s="19">
        <f>ROUND((I101+K101+L101)*Parametri!$C$8/Parametri!$C$7/12,2)</f>
        <v/>
      </c>
      <c r="AD101" s="20">
        <f>IFERROR(INDEX(Agosto!$D$5:$D$173,MATCH(A101,Agosto!$A$5:$A$173,0)),0)</f>
        <v/>
      </c>
      <c r="AE101" s="21">
        <f>ROUND(AD101+ROUND(Parametri!$C$9/12,4)-V101,4)</f>
        <v/>
      </c>
      <c r="AF101" s="19">
        <f>ROUND(I101+K101+L101+M101,2)</f>
        <v/>
      </c>
      <c r="AG101" s="19">
        <f>ROUND(N101-O101-Q101-R101,2)</f>
        <v/>
      </c>
      <c r="AH101" s="22">
        <f>IFERROR(INDEX(Agosto!$C$5:$C$173,MATCH(A101,Agosto!$A$5:$A$173,0)),"")</f>
        <v/>
      </c>
      <c r="AI101" s="23">
        <f>IF(AH101="","",S101/AH101-1)</f>
        <v/>
      </c>
      <c r="AJ101" s="4">
        <f>CHAR(65+MOD(SUMPRODUCT(SUMIF('Codice fiscale'!$A$5:$A$40,MID(C101,{1,3,5,7,9,11,13,15},1),'Codice fiscale'!$B$5:$B$40))+SUMPRODUCT(SUMIF('Codice fiscale'!$A$5:$A$40,MID(C101,{2,4,6,8,10,12,14},1),'Codice fiscale'!$C$5:$C$40)),26))</f>
        <v/>
      </c>
      <c r="AK101" s="4">
        <f>IF(ABS(I101-X101)&gt;Parametri!$C$11,"ERRORE","OK")</f>
        <v/>
      </c>
      <c r="AL101" s="4">
        <f>IF(ABS(K101-AA101)&gt;Parametri!$C$11,"ERRORE","OK")</f>
        <v/>
      </c>
      <c r="AM101" s="4">
        <f>IF(ABS(O101-AB101)&gt;Parametri!$C$11,"ERRORE","OK")</f>
        <v/>
      </c>
      <c r="AN101" s="4">
        <f>IF(ABS(T101-AC101)&gt;Parametri!$C$11,"ERRORE","OK")</f>
        <v/>
      </c>
      <c r="AO101" s="4">
        <f>IF(ABS(W101-AE101)&gt;Parametri!$C$12,"ERRORE","OK")</f>
        <v/>
      </c>
      <c r="AP101" s="4">
        <f>IF(OR(ABS(N101-AF101)&gt;Parametri!$C$11,ABS(S101-AG101)&gt;Parametri!$C$11),"ERRORE","OK")</f>
        <v/>
      </c>
      <c r="AQ101" s="4">
        <f>IF(AI101="","OK",IF(AND(ABS(AI101)&gt;Parametri!$C$10,G101=""),"ERRORE","OK"))</f>
        <v/>
      </c>
      <c r="AR101" s="4">
        <f>IF(AND(LEN(C101)=16,RIGHT(C101,1)=AJ101),"OK","ERRORE")</f>
        <v/>
      </c>
      <c r="AS101" s="12">
        <f>COUNTIF(AK101:AR101,"ERRORE")</f>
        <v/>
      </c>
    </row>
    <row r="102">
      <c r="A102" s="15" t="inlineStr">
        <is>
          <t>C098</t>
        </is>
      </c>
      <c r="B102" s="15" t="inlineStr">
        <is>
          <t>C</t>
        </is>
      </c>
      <c r="C102" s="15" t="inlineStr">
        <is>
          <t>NSBCBT84B09Z370N</t>
        </is>
      </c>
      <c r="D102" s="15" t="inlineStr">
        <is>
          <t>3</t>
        </is>
      </c>
      <c r="E102" s="16" t="n">
        <v>38821</v>
      </c>
      <c r="F102" s="17" t="n">
        <v>1</v>
      </c>
      <c r="G102" s="15" t="inlineStr"/>
      <c r="H102" s="15" t="b">
        <v>1</v>
      </c>
      <c r="I102" s="17" t="n">
        <v>1981.84</v>
      </c>
      <c r="J102" s="15" t="n">
        <v>6</v>
      </c>
      <c r="K102" s="17" t="n">
        <v>131.7</v>
      </c>
      <c r="L102" s="17" t="n">
        <v>50</v>
      </c>
      <c r="M102" s="17" t="n">
        <v>0</v>
      </c>
      <c r="N102" s="17" t="n">
        <v>2163.54</v>
      </c>
      <c r="O102" s="17" t="n">
        <v>205.32</v>
      </c>
      <c r="P102" s="17" t="n">
        <v>1958.22</v>
      </c>
      <c r="Q102" s="17" t="n">
        <v>315.8</v>
      </c>
      <c r="R102" s="17" t="n">
        <v>29.37</v>
      </c>
      <c r="S102" s="17" t="n">
        <v>1613.05</v>
      </c>
      <c r="T102" s="17" t="n">
        <v>186.97</v>
      </c>
      <c r="U102" s="18" t="n">
        <v>2.1667</v>
      </c>
      <c r="V102" s="18" t="n">
        <v>0</v>
      </c>
      <c r="W102" s="18" t="n">
        <v>22.2572</v>
      </c>
      <c r="X102" s="19">
        <f>ROUND(INDEX(CCNL!$F$5:$F$12,MATCH(D102,CCNL!$A$5:$A$12,0))*F102,2)</f>
        <v/>
      </c>
      <c r="Y102" s="4">
        <f>(YEAR(Parametri!$C$5)*12+MONTH(Parametri!$C$5))-(YEAR(E102)*12+MONTH(E102))</f>
        <v/>
      </c>
      <c r="Z102" s="4">
        <f>MIN(Parametri!$C$13,MAX(0,INT((Y102-1)/36)))</f>
        <v/>
      </c>
      <c r="AA102" s="19">
        <f>ROUND(INDEX(CCNL!$I$5:$I$12,MATCH(D102,CCNL!$A$5:$A$12,0))*Z102*F102,2)</f>
        <v/>
      </c>
      <c r="AB102" s="19">
        <f>ROUND(N102*Parametri!$C$6,2)</f>
        <v/>
      </c>
      <c r="AC102" s="19">
        <f>ROUND((I102+K102+L102)*Parametri!$C$8/Parametri!$C$7/12,2)</f>
        <v/>
      </c>
      <c r="AD102" s="20">
        <f>IFERROR(INDEX(Agosto!$D$5:$D$173,MATCH(A102,Agosto!$A$5:$A$173,0)),0)</f>
        <v/>
      </c>
      <c r="AE102" s="21">
        <f>ROUND(AD102+ROUND(Parametri!$C$9/12,4)-V102,4)</f>
        <v/>
      </c>
      <c r="AF102" s="19">
        <f>ROUND(I102+K102+L102+M102,2)</f>
        <v/>
      </c>
      <c r="AG102" s="19">
        <f>ROUND(N102-O102-Q102-R102,2)</f>
        <v/>
      </c>
      <c r="AH102" s="22">
        <f>IFERROR(INDEX(Agosto!$C$5:$C$173,MATCH(A102,Agosto!$A$5:$A$173,0)),"")</f>
        <v/>
      </c>
      <c r="AI102" s="23">
        <f>IF(AH102="","",S102/AH102-1)</f>
        <v/>
      </c>
      <c r="AJ102" s="4">
        <f>CHAR(65+MOD(SUMPRODUCT(SUMIF('Codice fiscale'!$A$5:$A$40,MID(C102,{1,3,5,7,9,11,13,15},1),'Codice fiscale'!$B$5:$B$40))+SUMPRODUCT(SUMIF('Codice fiscale'!$A$5:$A$40,MID(C102,{2,4,6,8,10,12,14},1),'Codice fiscale'!$C$5:$C$40)),26))</f>
        <v/>
      </c>
      <c r="AK102" s="4">
        <f>IF(ABS(I102-X102)&gt;Parametri!$C$11,"ERRORE","OK")</f>
        <v/>
      </c>
      <c r="AL102" s="4">
        <f>IF(ABS(K102-AA102)&gt;Parametri!$C$11,"ERRORE","OK")</f>
        <v/>
      </c>
      <c r="AM102" s="4">
        <f>IF(ABS(O102-AB102)&gt;Parametri!$C$11,"ERRORE","OK")</f>
        <v/>
      </c>
      <c r="AN102" s="4">
        <f>IF(ABS(T102-AC102)&gt;Parametri!$C$11,"ERRORE","OK")</f>
        <v/>
      </c>
      <c r="AO102" s="4">
        <f>IF(ABS(W102-AE102)&gt;Parametri!$C$12,"ERRORE","OK")</f>
        <v/>
      </c>
      <c r="AP102" s="4">
        <f>IF(OR(ABS(N102-AF102)&gt;Parametri!$C$11,ABS(S102-AG102)&gt;Parametri!$C$11),"ERRORE","OK")</f>
        <v/>
      </c>
      <c r="AQ102" s="4">
        <f>IF(AI102="","OK",IF(AND(ABS(AI102)&gt;Parametri!$C$10,G102=""),"ERRORE","OK"))</f>
        <v/>
      </c>
      <c r="AR102" s="4">
        <f>IF(AND(LEN(C102)=16,RIGHT(C102,1)=AJ102),"OK","ERRORE")</f>
        <v/>
      </c>
      <c r="AS102" s="12">
        <f>COUNTIF(AK102:AR102,"ERRORE")</f>
        <v/>
      </c>
    </row>
    <row r="103">
      <c r="A103" s="15" t="inlineStr">
        <is>
          <t>C099</t>
        </is>
      </c>
      <c r="B103" s="15" t="inlineStr">
        <is>
          <t>C</t>
        </is>
      </c>
      <c r="C103" s="15" t="inlineStr">
        <is>
          <t>GMZMPM03C67Z202O</t>
        </is>
      </c>
      <c r="D103" s="15" t="inlineStr">
        <is>
          <t>4</t>
        </is>
      </c>
      <c r="E103" s="16" t="n">
        <v>45280</v>
      </c>
      <c r="F103" s="17" t="n">
        <v>1</v>
      </c>
      <c r="G103" s="15" t="inlineStr"/>
      <c r="H103" s="15" t="b">
        <v>1</v>
      </c>
      <c r="I103" s="17" t="n">
        <v>1781.68</v>
      </c>
      <c r="J103" s="15" t="n">
        <v>0</v>
      </c>
      <c r="K103" s="17" t="n">
        <v>0</v>
      </c>
      <c r="L103" s="17" t="n">
        <v>150</v>
      </c>
      <c r="M103" s="17" t="n">
        <v>931.08</v>
      </c>
      <c r="N103" s="17" t="n">
        <v>2862.76</v>
      </c>
      <c r="O103" s="17" t="n">
        <v>263.09</v>
      </c>
      <c r="P103" s="17" t="n">
        <v>2599.67</v>
      </c>
      <c r="Q103" s="17" t="n">
        <v>515.63</v>
      </c>
      <c r="R103" s="17" t="n">
        <v>39</v>
      </c>
      <c r="S103" s="17" t="n">
        <v>2045.04</v>
      </c>
      <c r="T103" s="17" t="n">
        <v>166.94</v>
      </c>
      <c r="U103" s="18" t="n">
        <v>2.1667</v>
      </c>
      <c r="V103" s="18" t="n">
        <v>2</v>
      </c>
      <c r="W103" s="18" t="n">
        <v>12.5839</v>
      </c>
      <c r="X103" s="19">
        <f>ROUND(INDEX(CCNL!$F$5:$F$12,MATCH(D103,CCNL!$A$5:$A$12,0))*F103,2)</f>
        <v/>
      </c>
      <c r="Y103" s="4">
        <f>(YEAR(Parametri!$C$5)*12+MONTH(Parametri!$C$5))-(YEAR(E103)*12+MONTH(E103))</f>
        <v/>
      </c>
      <c r="Z103" s="4">
        <f>MIN(Parametri!$C$13,MAX(0,INT((Y103-1)/36)))</f>
        <v/>
      </c>
      <c r="AA103" s="19">
        <f>ROUND(INDEX(CCNL!$I$5:$I$12,MATCH(D103,CCNL!$A$5:$A$12,0))*Z103*F103,2)</f>
        <v/>
      </c>
      <c r="AB103" s="19">
        <f>ROUND(N103*Parametri!$C$6,2)</f>
        <v/>
      </c>
      <c r="AC103" s="19">
        <f>ROUND((I103+K103+L103)*Parametri!$C$8/Parametri!$C$7/12,2)</f>
        <v/>
      </c>
      <c r="AD103" s="20">
        <f>IFERROR(INDEX(Agosto!$D$5:$D$173,MATCH(A103,Agosto!$A$5:$A$173,0)),0)</f>
        <v/>
      </c>
      <c r="AE103" s="21">
        <f>ROUND(AD103+ROUND(Parametri!$C$9/12,4)-V103,4)</f>
        <v/>
      </c>
      <c r="AF103" s="19">
        <f>ROUND(I103+K103+L103+M103,2)</f>
        <v/>
      </c>
      <c r="AG103" s="19">
        <f>ROUND(N103-O103-Q103-R103,2)</f>
        <v/>
      </c>
      <c r="AH103" s="22">
        <f>IFERROR(INDEX(Agosto!$C$5:$C$173,MATCH(A103,Agosto!$A$5:$A$173,0)),"")</f>
        <v/>
      </c>
      <c r="AI103" s="23">
        <f>IF(AH103="","",S103/AH103-1)</f>
        <v/>
      </c>
      <c r="AJ103" s="4">
        <f>CHAR(65+MOD(SUMPRODUCT(SUMIF('Codice fiscale'!$A$5:$A$40,MID(C103,{1,3,5,7,9,11,13,15},1),'Codice fiscale'!$B$5:$B$40))+SUMPRODUCT(SUMIF('Codice fiscale'!$A$5:$A$40,MID(C103,{2,4,6,8,10,12,14},1),'Codice fiscale'!$C$5:$C$40)),26))</f>
        <v/>
      </c>
      <c r="AK103" s="4">
        <f>IF(ABS(I103-X103)&gt;Parametri!$C$11,"ERRORE","OK")</f>
        <v/>
      </c>
      <c r="AL103" s="4">
        <f>IF(ABS(K103-AA103)&gt;Parametri!$C$11,"ERRORE","OK")</f>
        <v/>
      </c>
      <c r="AM103" s="4">
        <f>IF(ABS(O103-AB103)&gt;Parametri!$C$11,"ERRORE","OK")</f>
        <v/>
      </c>
      <c r="AN103" s="4">
        <f>IF(ABS(T103-AC103)&gt;Parametri!$C$11,"ERRORE","OK")</f>
        <v/>
      </c>
      <c r="AO103" s="4">
        <f>IF(ABS(W103-AE103)&gt;Parametri!$C$12,"ERRORE","OK")</f>
        <v/>
      </c>
      <c r="AP103" s="4">
        <f>IF(OR(ABS(N103-AF103)&gt;Parametri!$C$11,ABS(S103-AG103)&gt;Parametri!$C$11),"ERRORE","OK")</f>
        <v/>
      </c>
      <c r="AQ103" s="4">
        <f>IF(AI103="","OK",IF(AND(ABS(AI103)&gt;Parametri!$C$10,G103=""),"ERRORE","OK"))</f>
        <v/>
      </c>
      <c r="AR103" s="4">
        <f>IF(AND(LEN(C103)=16,RIGHT(C103,1)=AJ103),"OK","ERRORE")</f>
        <v/>
      </c>
      <c r="AS103" s="12">
        <f>COUNTIF(AK103:AR103,"ERRORE")</f>
        <v/>
      </c>
    </row>
    <row r="104">
      <c r="A104" s="15" t="inlineStr">
        <is>
          <t>C100</t>
        </is>
      </c>
      <c r="B104" s="15" t="inlineStr">
        <is>
          <t>C</t>
        </is>
      </c>
      <c r="C104" s="15" t="inlineStr">
        <is>
          <t>GVLTFT85D60Z269E</t>
        </is>
      </c>
      <c r="D104" s="15" t="inlineStr">
        <is>
          <t>4</t>
        </is>
      </c>
      <c r="E104" s="16" t="n">
        <v>44550</v>
      </c>
      <c r="F104" s="17" t="n">
        <v>0.75</v>
      </c>
      <c r="G104" s="15" t="inlineStr"/>
      <c r="H104" s="15" t="b">
        <v>1</v>
      </c>
      <c r="I104" s="17" t="n">
        <v>1336.26</v>
      </c>
      <c r="J104" s="15" t="n">
        <v>1</v>
      </c>
      <c r="K104" s="17" t="n">
        <v>15.5</v>
      </c>
      <c r="L104" s="17" t="n">
        <v>150</v>
      </c>
      <c r="M104" s="17" t="n">
        <v>0</v>
      </c>
      <c r="N104" s="17" t="n">
        <v>1501.76</v>
      </c>
      <c r="O104" s="17" t="n">
        <v>138.01</v>
      </c>
      <c r="P104" s="17" t="n">
        <v>1363.75</v>
      </c>
      <c r="Q104" s="17" t="n">
        <v>155.3</v>
      </c>
      <c r="R104" s="17" t="n">
        <v>20.46</v>
      </c>
      <c r="S104" s="17" t="n">
        <v>1187.99</v>
      </c>
      <c r="T104" s="17" t="n">
        <v>129.78</v>
      </c>
      <c r="U104" s="18" t="n">
        <v>2.1667</v>
      </c>
      <c r="V104" s="18" t="n">
        <v>2</v>
      </c>
      <c r="W104" s="18" t="n">
        <v>10.1555</v>
      </c>
      <c r="X104" s="19">
        <f>ROUND(INDEX(CCNL!$F$5:$F$12,MATCH(D104,CCNL!$A$5:$A$12,0))*F104,2)</f>
        <v/>
      </c>
      <c r="Y104" s="4">
        <f>(YEAR(Parametri!$C$5)*12+MONTH(Parametri!$C$5))-(YEAR(E104)*12+MONTH(E104))</f>
        <v/>
      </c>
      <c r="Z104" s="4">
        <f>MIN(Parametri!$C$13,MAX(0,INT((Y104-1)/36)))</f>
        <v/>
      </c>
      <c r="AA104" s="19">
        <f>ROUND(INDEX(CCNL!$I$5:$I$12,MATCH(D104,CCNL!$A$5:$A$12,0))*Z104*F104,2)</f>
        <v/>
      </c>
      <c r="AB104" s="19">
        <f>ROUND(N104*Parametri!$C$6,2)</f>
        <v/>
      </c>
      <c r="AC104" s="19">
        <f>ROUND((I104+K104+L104)*Parametri!$C$8/Parametri!$C$7/12,2)</f>
        <v/>
      </c>
      <c r="AD104" s="20">
        <f>IFERROR(INDEX(Agosto!$D$5:$D$173,MATCH(A104,Agosto!$A$5:$A$173,0)),0)</f>
        <v/>
      </c>
      <c r="AE104" s="21">
        <f>ROUND(AD104+ROUND(Parametri!$C$9/12,4)-V104,4)</f>
        <v/>
      </c>
      <c r="AF104" s="19">
        <f>ROUND(I104+K104+L104+M104,2)</f>
        <v/>
      </c>
      <c r="AG104" s="19">
        <f>ROUND(N104-O104-Q104-R104,2)</f>
        <v/>
      </c>
      <c r="AH104" s="22">
        <f>IFERROR(INDEX(Agosto!$C$5:$C$173,MATCH(A104,Agosto!$A$5:$A$173,0)),"")</f>
        <v/>
      </c>
      <c r="AI104" s="23">
        <f>IF(AH104="","",S104/AH104-1)</f>
        <v/>
      </c>
      <c r="AJ104" s="4">
        <f>CHAR(65+MOD(SUMPRODUCT(SUMIF('Codice fiscale'!$A$5:$A$40,MID(C104,{1,3,5,7,9,11,13,15},1),'Codice fiscale'!$B$5:$B$40))+SUMPRODUCT(SUMIF('Codice fiscale'!$A$5:$A$40,MID(C104,{2,4,6,8,10,12,14},1),'Codice fiscale'!$C$5:$C$40)),26))</f>
        <v/>
      </c>
      <c r="AK104" s="4">
        <f>IF(ABS(I104-X104)&gt;Parametri!$C$11,"ERRORE","OK")</f>
        <v/>
      </c>
      <c r="AL104" s="4">
        <f>IF(ABS(K104-AA104)&gt;Parametri!$C$11,"ERRORE","OK")</f>
        <v/>
      </c>
      <c r="AM104" s="4">
        <f>IF(ABS(O104-AB104)&gt;Parametri!$C$11,"ERRORE","OK")</f>
        <v/>
      </c>
      <c r="AN104" s="4">
        <f>IF(ABS(T104-AC104)&gt;Parametri!$C$11,"ERRORE","OK")</f>
        <v/>
      </c>
      <c r="AO104" s="4">
        <f>IF(ABS(W104-AE104)&gt;Parametri!$C$12,"ERRORE","OK")</f>
        <v/>
      </c>
      <c r="AP104" s="4">
        <f>IF(OR(ABS(N104-AF104)&gt;Parametri!$C$11,ABS(S104-AG104)&gt;Parametri!$C$11),"ERRORE","OK")</f>
        <v/>
      </c>
      <c r="AQ104" s="4">
        <f>IF(AI104="","OK",IF(AND(ABS(AI104)&gt;Parametri!$C$10,G104=""),"ERRORE","OK"))</f>
        <v/>
      </c>
      <c r="AR104" s="4">
        <f>IF(AND(LEN(C104)=16,RIGHT(C104,1)=AJ104),"OK","ERRORE")</f>
        <v/>
      </c>
      <c r="AS104" s="12">
        <f>COUNTIF(AK104:AR104,"ERRORE")</f>
        <v/>
      </c>
    </row>
    <row r="105">
      <c r="A105" s="15" t="inlineStr">
        <is>
          <t>C101</t>
        </is>
      </c>
      <c r="B105" s="15" t="inlineStr">
        <is>
          <t>C</t>
        </is>
      </c>
      <c r="C105" s="15" t="inlineStr">
        <is>
          <t>RMNZNB79C03Z240D</t>
        </is>
      </c>
      <c r="D105" s="15" t="inlineStr">
        <is>
          <t>5</t>
        </is>
      </c>
      <c r="E105" s="16" t="n">
        <v>40976</v>
      </c>
      <c r="F105" s="17" t="n">
        <v>1</v>
      </c>
      <c r="G105" s="15" t="inlineStr"/>
      <c r="H105" s="15" t="b">
        <v>0</v>
      </c>
      <c r="I105" s="17" t="n">
        <v>1658.01</v>
      </c>
      <c r="J105" s="15" t="n">
        <v>4</v>
      </c>
      <c r="K105" s="17" t="n">
        <v>81.2</v>
      </c>
      <c r="L105" s="17" t="n">
        <v>80</v>
      </c>
      <c r="M105" s="17" t="n">
        <v>0</v>
      </c>
      <c r="N105" s="17" t="n">
        <v>1819.21</v>
      </c>
      <c r="O105" s="17" t="n">
        <v>167.19</v>
      </c>
      <c r="P105" s="17" t="n">
        <v>1652.02</v>
      </c>
      <c r="Q105" s="17" t="n">
        <v>233.13</v>
      </c>
      <c r="R105" s="17" t="n">
        <v>24.78</v>
      </c>
      <c r="S105" s="17" t="n">
        <v>1394.11</v>
      </c>
      <c r="T105" s="17" t="n">
        <v>143.28</v>
      </c>
      <c r="U105" s="18" t="n">
        <v>2.1667</v>
      </c>
      <c r="V105" s="18" t="n">
        <v>0</v>
      </c>
      <c r="W105" s="18" t="n">
        <v>18.4391</v>
      </c>
      <c r="X105" s="19">
        <f>ROUND(INDEX(CCNL!$F$5:$F$12,MATCH(D105,CCNL!$A$5:$A$12,0))*F105,2)</f>
        <v/>
      </c>
      <c r="Y105" s="4">
        <f>(YEAR(Parametri!$C$5)*12+MONTH(Parametri!$C$5))-(YEAR(E105)*12+MONTH(E105))</f>
        <v/>
      </c>
      <c r="Z105" s="4">
        <f>MIN(Parametri!$C$13,MAX(0,INT((Y105-1)/36)))</f>
        <v/>
      </c>
      <c r="AA105" s="19">
        <f>ROUND(INDEX(CCNL!$I$5:$I$12,MATCH(D105,CCNL!$A$5:$A$12,0))*Z105*F105,2)</f>
        <v/>
      </c>
      <c r="AB105" s="19">
        <f>ROUND(N105*Parametri!$C$6,2)</f>
        <v/>
      </c>
      <c r="AC105" s="19">
        <f>ROUND((I105+K105+L105)*Parametri!$C$8/Parametri!$C$7/12,2)</f>
        <v/>
      </c>
      <c r="AD105" s="20">
        <f>IFERROR(INDEX(Agosto!$D$5:$D$173,MATCH(A105,Agosto!$A$5:$A$173,0)),0)</f>
        <v/>
      </c>
      <c r="AE105" s="21">
        <f>ROUND(AD105+ROUND(Parametri!$C$9/12,4)-V105,4)</f>
        <v/>
      </c>
      <c r="AF105" s="19">
        <f>ROUND(I105+K105+L105+M105,2)</f>
        <v/>
      </c>
      <c r="AG105" s="19">
        <f>ROUND(N105-O105-Q105-R105,2)</f>
        <v/>
      </c>
      <c r="AH105" s="22">
        <f>IFERROR(INDEX(Agosto!$C$5:$C$173,MATCH(A105,Agosto!$A$5:$A$173,0)),"")</f>
        <v/>
      </c>
      <c r="AI105" s="23">
        <f>IF(AH105="","",S105/AH105-1)</f>
        <v/>
      </c>
      <c r="AJ105" s="4">
        <f>CHAR(65+MOD(SUMPRODUCT(SUMIF('Codice fiscale'!$A$5:$A$40,MID(C105,{1,3,5,7,9,11,13,15},1),'Codice fiscale'!$B$5:$B$40))+SUMPRODUCT(SUMIF('Codice fiscale'!$A$5:$A$40,MID(C105,{2,4,6,8,10,12,14},1),'Codice fiscale'!$C$5:$C$40)),26))</f>
        <v/>
      </c>
      <c r="AK105" s="4">
        <f>IF(ABS(I105-X105)&gt;Parametri!$C$11,"ERRORE","OK")</f>
        <v/>
      </c>
      <c r="AL105" s="4">
        <f>IF(ABS(K105-AA105)&gt;Parametri!$C$11,"ERRORE","OK")</f>
        <v/>
      </c>
      <c r="AM105" s="4">
        <f>IF(ABS(O105-AB105)&gt;Parametri!$C$11,"ERRORE","OK")</f>
        <v/>
      </c>
      <c r="AN105" s="4">
        <f>IF(ABS(T105-AC105)&gt;Parametri!$C$11,"ERRORE","OK")</f>
        <v/>
      </c>
      <c r="AO105" s="4">
        <f>IF(ABS(W105-AE105)&gt;Parametri!$C$12,"ERRORE","OK")</f>
        <v/>
      </c>
      <c r="AP105" s="4">
        <f>IF(OR(ABS(N105-AF105)&gt;Parametri!$C$11,ABS(S105-AG105)&gt;Parametri!$C$11),"ERRORE","OK")</f>
        <v/>
      </c>
      <c r="AQ105" s="4">
        <f>IF(AI105="","OK",IF(AND(ABS(AI105)&gt;Parametri!$C$10,G105=""),"ERRORE","OK"))</f>
        <v/>
      </c>
      <c r="AR105" s="4">
        <f>IF(AND(LEN(C105)=16,RIGHT(C105,1)=AJ105),"OK","ERRORE")</f>
        <v/>
      </c>
      <c r="AS105" s="12">
        <f>COUNTIF(AK105:AR105,"ERRORE")</f>
        <v/>
      </c>
    </row>
    <row r="106">
      <c r="A106" s="15" t="inlineStr">
        <is>
          <t>C102</t>
        </is>
      </c>
      <c r="B106" s="15" t="inlineStr">
        <is>
          <t>C</t>
        </is>
      </c>
      <c r="C106" s="15" t="inlineStr">
        <is>
          <t>TVCVMP80T03Z361Q</t>
        </is>
      </c>
      <c r="D106" s="15" t="inlineStr">
        <is>
          <t>5</t>
        </is>
      </c>
      <c r="E106" s="16" t="n">
        <v>43474</v>
      </c>
      <c r="F106" s="17" t="n">
        <v>0.75</v>
      </c>
      <c r="G106" s="15" t="inlineStr"/>
      <c r="H106" s="15" t="b">
        <v>1</v>
      </c>
      <c r="I106" s="17" t="n">
        <v>1243.51</v>
      </c>
      <c r="J106" s="15" t="n">
        <v>2</v>
      </c>
      <c r="K106" s="17" t="n">
        <v>30.45</v>
      </c>
      <c r="L106" s="17" t="n">
        <v>90</v>
      </c>
      <c r="M106" s="17" t="n">
        <v>0</v>
      </c>
      <c r="N106" s="17" t="n">
        <v>1363.96</v>
      </c>
      <c r="O106" s="17" t="n">
        <v>125.35</v>
      </c>
      <c r="P106" s="17" t="n">
        <v>1238.61</v>
      </c>
      <c r="Q106" s="17" t="n">
        <v>121.96</v>
      </c>
      <c r="R106" s="17" t="n">
        <v>18.58</v>
      </c>
      <c r="S106" s="17" t="n">
        <v>1098.07</v>
      </c>
      <c r="T106" s="17" t="n">
        <v>117.87</v>
      </c>
      <c r="U106" s="18" t="n">
        <v>2.1667</v>
      </c>
      <c r="V106" s="18" t="n">
        <v>0</v>
      </c>
      <c r="W106" s="18" t="n">
        <v>15.0603</v>
      </c>
      <c r="X106" s="19">
        <f>ROUND(INDEX(CCNL!$F$5:$F$12,MATCH(D106,CCNL!$A$5:$A$12,0))*F106,2)</f>
        <v/>
      </c>
      <c r="Y106" s="4">
        <f>(YEAR(Parametri!$C$5)*12+MONTH(Parametri!$C$5))-(YEAR(E106)*12+MONTH(E106))</f>
        <v/>
      </c>
      <c r="Z106" s="4">
        <f>MIN(Parametri!$C$13,MAX(0,INT((Y106-1)/36)))</f>
        <v/>
      </c>
      <c r="AA106" s="19">
        <f>ROUND(INDEX(CCNL!$I$5:$I$12,MATCH(D106,CCNL!$A$5:$A$12,0))*Z106*F106,2)</f>
        <v/>
      </c>
      <c r="AB106" s="19">
        <f>ROUND(N106*Parametri!$C$6,2)</f>
        <v/>
      </c>
      <c r="AC106" s="19">
        <f>ROUND((I106+K106+L106)*Parametri!$C$8/Parametri!$C$7/12,2)</f>
        <v/>
      </c>
      <c r="AD106" s="20">
        <f>IFERROR(INDEX(Agosto!$D$5:$D$173,MATCH(A106,Agosto!$A$5:$A$173,0)),0)</f>
        <v/>
      </c>
      <c r="AE106" s="21">
        <f>ROUND(AD106+ROUND(Parametri!$C$9/12,4)-V106,4)</f>
        <v/>
      </c>
      <c r="AF106" s="19">
        <f>ROUND(I106+K106+L106+M106,2)</f>
        <v/>
      </c>
      <c r="AG106" s="19">
        <f>ROUND(N106-O106-Q106-R106,2)</f>
        <v/>
      </c>
      <c r="AH106" s="22">
        <f>IFERROR(INDEX(Agosto!$C$5:$C$173,MATCH(A106,Agosto!$A$5:$A$173,0)),"")</f>
        <v/>
      </c>
      <c r="AI106" s="23">
        <f>IF(AH106="","",S106/AH106-1)</f>
        <v/>
      </c>
      <c r="AJ106" s="4">
        <f>CHAR(65+MOD(SUMPRODUCT(SUMIF('Codice fiscale'!$A$5:$A$40,MID(C106,{1,3,5,7,9,11,13,15},1),'Codice fiscale'!$B$5:$B$40))+SUMPRODUCT(SUMIF('Codice fiscale'!$A$5:$A$40,MID(C106,{2,4,6,8,10,12,14},1),'Codice fiscale'!$C$5:$C$40)),26))</f>
        <v/>
      </c>
      <c r="AK106" s="4">
        <f>IF(ABS(I106-X106)&gt;Parametri!$C$11,"ERRORE","OK")</f>
        <v/>
      </c>
      <c r="AL106" s="4">
        <f>IF(ABS(K106-AA106)&gt;Parametri!$C$11,"ERRORE","OK")</f>
        <v/>
      </c>
      <c r="AM106" s="4">
        <f>IF(ABS(O106-AB106)&gt;Parametri!$C$11,"ERRORE","OK")</f>
        <v/>
      </c>
      <c r="AN106" s="4">
        <f>IF(ABS(T106-AC106)&gt;Parametri!$C$11,"ERRORE","OK")</f>
        <v/>
      </c>
      <c r="AO106" s="4">
        <f>IF(ABS(W106-AE106)&gt;Parametri!$C$12,"ERRORE","OK")</f>
        <v/>
      </c>
      <c r="AP106" s="4">
        <f>IF(OR(ABS(N106-AF106)&gt;Parametri!$C$11,ABS(S106-AG106)&gt;Parametri!$C$11),"ERRORE","OK")</f>
        <v/>
      </c>
      <c r="AQ106" s="4">
        <f>IF(AI106="","OK",IF(AND(ABS(AI106)&gt;Parametri!$C$10,G106=""),"ERRORE","OK"))</f>
        <v/>
      </c>
      <c r="AR106" s="4">
        <f>IF(AND(LEN(C106)=16,RIGHT(C106,1)=AJ106),"OK","ERRORE")</f>
        <v/>
      </c>
      <c r="AS106" s="12">
        <f>COUNTIF(AK106:AR106,"ERRORE")</f>
        <v/>
      </c>
    </row>
    <row r="107">
      <c r="A107" s="15" t="inlineStr">
        <is>
          <t>C103</t>
        </is>
      </c>
      <c r="B107" s="15" t="inlineStr">
        <is>
          <t>C</t>
        </is>
      </c>
      <c r="C107" s="15" t="inlineStr">
        <is>
          <t>LVRLFG67B63Z238U</t>
        </is>
      </c>
      <c r="D107" s="15" t="inlineStr">
        <is>
          <t>2</t>
        </is>
      </c>
      <c r="E107" s="16" t="n">
        <v>44051</v>
      </c>
      <c r="F107" s="17" t="n">
        <v>0.75</v>
      </c>
      <c r="G107" s="15" t="inlineStr"/>
      <c r="H107" s="15" t="b">
        <v>1</v>
      </c>
      <c r="I107" s="17" t="n">
        <v>1675.2</v>
      </c>
      <c r="J107" s="15" t="n">
        <v>2</v>
      </c>
      <c r="K107" s="17" t="n">
        <v>34.25</v>
      </c>
      <c r="L107" s="17" t="n">
        <v>37.5</v>
      </c>
      <c r="M107" s="17" t="n">
        <v>0</v>
      </c>
      <c r="N107" s="17" t="n">
        <v>1746.95</v>
      </c>
      <c r="O107" s="17" t="n">
        <v>160.54</v>
      </c>
      <c r="P107" s="17" t="n">
        <v>1586.41</v>
      </c>
      <c r="Q107" s="17" t="n">
        <v>215.41</v>
      </c>
      <c r="R107" s="17" t="n">
        <v>23.8</v>
      </c>
      <c r="S107" s="17" t="n">
        <v>1347.2</v>
      </c>
      <c r="T107" s="17" t="n">
        <v>150.97</v>
      </c>
      <c r="U107" s="18" t="n">
        <v>2.1667</v>
      </c>
      <c r="V107" s="18" t="n">
        <v>1</v>
      </c>
      <c r="W107" s="18" t="n">
        <v>19.7265</v>
      </c>
      <c r="X107" s="19">
        <f>ROUND(INDEX(CCNL!$F$5:$F$12,MATCH(D107,CCNL!$A$5:$A$12,0))*F107,2)</f>
        <v/>
      </c>
      <c r="Y107" s="4">
        <f>(YEAR(Parametri!$C$5)*12+MONTH(Parametri!$C$5))-(YEAR(E107)*12+MONTH(E107))</f>
        <v/>
      </c>
      <c r="Z107" s="4">
        <f>MIN(Parametri!$C$13,MAX(0,INT((Y107-1)/36)))</f>
        <v/>
      </c>
      <c r="AA107" s="19">
        <f>ROUND(INDEX(CCNL!$I$5:$I$12,MATCH(D107,CCNL!$A$5:$A$12,0))*Z107*F107,2)</f>
        <v/>
      </c>
      <c r="AB107" s="19">
        <f>ROUND(N107*Parametri!$C$6,2)</f>
        <v/>
      </c>
      <c r="AC107" s="19">
        <f>ROUND((I107+K107+L107)*Parametri!$C$8/Parametri!$C$7/12,2)</f>
        <v/>
      </c>
      <c r="AD107" s="20">
        <f>IFERROR(INDEX(Agosto!$D$5:$D$173,MATCH(A107,Agosto!$A$5:$A$173,0)),0)</f>
        <v/>
      </c>
      <c r="AE107" s="21">
        <f>ROUND(AD107+ROUND(Parametri!$C$9/12,4)-V107,4)</f>
        <v/>
      </c>
      <c r="AF107" s="19">
        <f>ROUND(I107+K107+L107+M107,2)</f>
        <v/>
      </c>
      <c r="AG107" s="19">
        <f>ROUND(N107-O107-Q107-R107,2)</f>
        <v/>
      </c>
      <c r="AH107" s="22">
        <f>IFERROR(INDEX(Agosto!$C$5:$C$173,MATCH(A107,Agosto!$A$5:$A$173,0)),"")</f>
        <v/>
      </c>
      <c r="AI107" s="23">
        <f>IF(AH107="","",S107/AH107-1)</f>
        <v/>
      </c>
      <c r="AJ107" s="4">
        <f>CHAR(65+MOD(SUMPRODUCT(SUMIF('Codice fiscale'!$A$5:$A$40,MID(C107,{1,3,5,7,9,11,13,15},1),'Codice fiscale'!$B$5:$B$40))+SUMPRODUCT(SUMIF('Codice fiscale'!$A$5:$A$40,MID(C107,{2,4,6,8,10,12,14},1),'Codice fiscale'!$C$5:$C$40)),26))</f>
        <v/>
      </c>
      <c r="AK107" s="4">
        <f>IF(ABS(I107-X107)&gt;Parametri!$C$11,"ERRORE","OK")</f>
        <v/>
      </c>
      <c r="AL107" s="4">
        <f>IF(ABS(K107-AA107)&gt;Parametri!$C$11,"ERRORE","OK")</f>
        <v/>
      </c>
      <c r="AM107" s="4">
        <f>IF(ABS(O107-AB107)&gt;Parametri!$C$11,"ERRORE","OK")</f>
        <v/>
      </c>
      <c r="AN107" s="4">
        <f>IF(ABS(T107-AC107)&gt;Parametri!$C$11,"ERRORE","OK")</f>
        <v/>
      </c>
      <c r="AO107" s="4">
        <f>IF(ABS(W107-AE107)&gt;Parametri!$C$12,"ERRORE","OK")</f>
        <v/>
      </c>
      <c r="AP107" s="4">
        <f>IF(OR(ABS(N107-AF107)&gt;Parametri!$C$11,ABS(S107-AG107)&gt;Parametri!$C$11),"ERRORE","OK")</f>
        <v/>
      </c>
      <c r="AQ107" s="4">
        <f>IF(AI107="","OK",IF(AND(ABS(AI107)&gt;Parametri!$C$10,G107=""),"ERRORE","OK"))</f>
        <v/>
      </c>
      <c r="AR107" s="4">
        <f>IF(AND(LEN(C107)=16,RIGHT(C107,1)=AJ107),"OK","ERRORE")</f>
        <v/>
      </c>
      <c r="AS107" s="12">
        <f>COUNTIF(AK107:AR107,"ERRORE")</f>
        <v/>
      </c>
    </row>
    <row r="108">
      <c r="A108" s="15" t="inlineStr">
        <is>
          <t>C104</t>
        </is>
      </c>
      <c r="B108" s="15" t="inlineStr">
        <is>
          <t>C</t>
        </is>
      </c>
      <c r="C108" s="15" t="inlineStr">
        <is>
          <t>VPDGVG72R49Z303P</t>
        </is>
      </c>
      <c r="D108" s="15" t="inlineStr">
        <is>
          <t>7</t>
        </is>
      </c>
      <c r="E108" s="16" t="n">
        <v>45792</v>
      </c>
      <c r="F108" s="17" t="n">
        <v>0.75</v>
      </c>
      <c r="G108" s="15" t="inlineStr"/>
      <c r="H108" s="15" t="b">
        <v>1</v>
      </c>
      <c r="I108" s="17" t="n">
        <v>1046.92</v>
      </c>
      <c r="J108" s="15" t="n">
        <v>0</v>
      </c>
      <c r="K108" s="17" t="n">
        <v>0</v>
      </c>
      <c r="L108" s="17" t="n">
        <v>0</v>
      </c>
      <c r="M108" s="17" t="n">
        <v>0</v>
      </c>
      <c r="N108" s="17" t="n">
        <v>1046.92</v>
      </c>
      <c r="O108" s="17" t="n">
        <v>96.20999999999999</v>
      </c>
      <c r="P108" s="17" t="n">
        <v>950.71</v>
      </c>
      <c r="Q108" s="17" t="n">
        <v>55.75</v>
      </c>
      <c r="R108" s="17" t="n">
        <v>14.26</v>
      </c>
      <c r="S108" s="17" t="n">
        <v>880.7</v>
      </c>
      <c r="T108" s="17" t="n">
        <v>90.47</v>
      </c>
      <c r="U108" s="18" t="n">
        <v>2.1667</v>
      </c>
      <c r="V108" s="18" t="n">
        <v>2</v>
      </c>
      <c r="W108" s="18" t="n">
        <v>15.0985</v>
      </c>
      <c r="X108" s="19">
        <f>ROUND(INDEX(CCNL!$F$5:$F$12,MATCH(D108,CCNL!$A$5:$A$12,0))*F108,2)</f>
        <v/>
      </c>
      <c r="Y108" s="4">
        <f>(YEAR(Parametri!$C$5)*12+MONTH(Parametri!$C$5))-(YEAR(E108)*12+MONTH(E108))</f>
        <v/>
      </c>
      <c r="Z108" s="4">
        <f>MIN(Parametri!$C$13,MAX(0,INT((Y108-1)/36)))</f>
        <v/>
      </c>
      <c r="AA108" s="19">
        <f>ROUND(INDEX(CCNL!$I$5:$I$12,MATCH(D108,CCNL!$A$5:$A$12,0))*Z108*F108,2)</f>
        <v/>
      </c>
      <c r="AB108" s="19">
        <f>ROUND(N108*Parametri!$C$6,2)</f>
        <v/>
      </c>
      <c r="AC108" s="19">
        <f>ROUND((I108+K108+L108)*Parametri!$C$8/Parametri!$C$7/12,2)</f>
        <v/>
      </c>
      <c r="AD108" s="20">
        <f>IFERROR(INDEX(Agosto!$D$5:$D$173,MATCH(A108,Agosto!$A$5:$A$173,0)),0)</f>
        <v/>
      </c>
      <c r="AE108" s="21">
        <f>ROUND(AD108+ROUND(Parametri!$C$9/12,4)-V108,4)</f>
        <v/>
      </c>
      <c r="AF108" s="19">
        <f>ROUND(I108+K108+L108+M108,2)</f>
        <v/>
      </c>
      <c r="AG108" s="19">
        <f>ROUND(N108-O108-Q108-R108,2)</f>
        <v/>
      </c>
      <c r="AH108" s="22">
        <f>IFERROR(INDEX(Agosto!$C$5:$C$173,MATCH(A108,Agosto!$A$5:$A$173,0)),"")</f>
        <v/>
      </c>
      <c r="AI108" s="23">
        <f>IF(AH108="","",S108/AH108-1)</f>
        <v/>
      </c>
      <c r="AJ108" s="4">
        <f>CHAR(65+MOD(SUMPRODUCT(SUMIF('Codice fiscale'!$A$5:$A$40,MID(C108,{1,3,5,7,9,11,13,15},1),'Codice fiscale'!$B$5:$B$40))+SUMPRODUCT(SUMIF('Codice fiscale'!$A$5:$A$40,MID(C108,{2,4,6,8,10,12,14},1),'Codice fiscale'!$C$5:$C$40)),26))</f>
        <v/>
      </c>
      <c r="AK108" s="4">
        <f>IF(ABS(I108-X108)&gt;Parametri!$C$11,"ERRORE","OK")</f>
        <v/>
      </c>
      <c r="AL108" s="4">
        <f>IF(ABS(K108-AA108)&gt;Parametri!$C$11,"ERRORE","OK")</f>
        <v/>
      </c>
      <c r="AM108" s="4">
        <f>IF(ABS(O108-AB108)&gt;Parametri!$C$11,"ERRORE","OK")</f>
        <v/>
      </c>
      <c r="AN108" s="4">
        <f>IF(ABS(T108-AC108)&gt;Parametri!$C$11,"ERRORE","OK")</f>
        <v/>
      </c>
      <c r="AO108" s="4">
        <f>IF(ABS(W108-AE108)&gt;Parametri!$C$12,"ERRORE","OK")</f>
        <v/>
      </c>
      <c r="AP108" s="4">
        <f>IF(OR(ABS(N108-AF108)&gt;Parametri!$C$11,ABS(S108-AG108)&gt;Parametri!$C$11),"ERRORE","OK")</f>
        <v/>
      </c>
      <c r="AQ108" s="4">
        <f>IF(AI108="","OK",IF(AND(ABS(AI108)&gt;Parametri!$C$10,G108=""),"ERRORE","OK"))</f>
        <v/>
      </c>
      <c r="AR108" s="4">
        <f>IF(AND(LEN(C108)=16,RIGHT(C108,1)=AJ108),"OK","ERRORE")</f>
        <v/>
      </c>
      <c r="AS108" s="12">
        <f>COUNTIF(AK108:AR108,"ERRORE")</f>
        <v/>
      </c>
    </row>
    <row r="109">
      <c r="A109" s="15" t="inlineStr">
        <is>
          <t>C105</t>
        </is>
      </c>
      <c r="B109" s="15" t="inlineStr">
        <is>
          <t>C</t>
        </is>
      </c>
      <c r="C109" s="15" t="inlineStr">
        <is>
          <t>BCBBTB67R52Z260R</t>
        </is>
      </c>
      <c r="D109" s="15" t="inlineStr">
        <is>
          <t>Quadri</t>
        </is>
      </c>
      <c r="E109" s="16" t="n">
        <v>44097</v>
      </c>
      <c r="F109" s="17" t="n">
        <v>1</v>
      </c>
      <c r="G109" s="15" t="inlineStr"/>
      <c r="H109" s="15" t="b">
        <v>1</v>
      </c>
      <c r="I109" s="17" t="n">
        <v>2723.45</v>
      </c>
      <c r="J109" s="15" t="n">
        <v>1</v>
      </c>
      <c r="K109" s="17" t="n">
        <v>25.46</v>
      </c>
      <c r="L109" s="17" t="n">
        <v>300</v>
      </c>
      <c r="M109" s="17" t="n">
        <v>0</v>
      </c>
      <c r="N109" s="17" t="n">
        <v>3048.91</v>
      </c>
      <c r="O109" s="17" t="n">
        <v>280.19</v>
      </c>
      <c r="P109" s="17" t="n">
        <v>2768.72</v>
      </c>
      <c r="Q109" s="17" t="n">
        <v>578.1799999999999</v>
      </c>
      <c r="R109" s="17" t="n">
        <v>41.53</v>
      </c>
      <c r="S109" s="17" t="n">
        <v>2149.01</v>
      </c>
      <c r="T109" s="17" t="n">
        <v>263.49</v>
      </c>
      <c r="U109" s="18" t="n">
        <v>2.1667</v>
      </c>
      <c r="V109" s="18" t="n">
        <v>1</v>
      </c>
      <c r="W109" s="18" t="n">
        <v>23.1446</v>
      </c>
      <c r="X109" s="19">
        <f>ROUND(INDEX(CCNL!$F$5:$F$12,MATCH(D109,CCNL!$A$5:$A$12,0))*F109,2)</f>
        <v/>
      </c>
      <c r="Y109" s="4">
        <f>(YEAR(Parametri!$C$5)*12+MONTH(Parametri!$C$5))-(YEAR(E109)*12+MONTH(E109))</f>
        <v/>
      </c>
      <c r="Z109" s="4">
        <f>MIN(Parametri!$C$13,MAX(0,INT((Y109-1)/36)))</f>
        <v/>
      </c>
      <c r="AA109" s="19">
        <f>ROUND(INDEX(CCNL!$I$5:$I$12,MATCH(D109,CCNL!$A$5:$A$12,0))*Z109*F109,2)</f>
        <v/>
      </c>
      <c r="AB109" s="19">
        <f>ROUND(N109*Parametri!$C$6,2)</f>
        <v/>
      </c>
      <c r="AC109" s="19">
        <f>ROUND((I109+K109+L109)*Parametri!$C$8/Parametri!$C$7/12,2)</f>
        <v/>
      </c>
      <c r="AD109" s="20">
        <f>IFERROR(INDEX(Agosto!$D$5:$D$173,MATCH(A109,Agosto!$A$5:$A$173,0)),0)</f>
        <v/>
      </c>
      <c r="AE109" s="21">
        <f>ROUND(AD109+ROUND(Parametri!$C$9/12,4)-V109,4)</f>
        <v/>
      </c>
      <c r="AF109" s="19">
        <f>ROUND(I109+K109+L109+M109,2)</f>
        <v/>
      </c>
      <c r="AG109" s="19">
        <f>ROUND(N109-O109-Q109-R109,2)</f>
        <v/>
      </c>
      <c r="AH109" s="22">
        <f>IFERROR(INDEX(Agosto!$C$5:$C$173,MATCH(A109,Agosto!$A$5:$A$173,0)),"")</f>
        <v/>
      </c>
      <c r="AI109" s="23">
        <f>IF(AH109="","",S109/AH109-1)</f>
        <v/>
      </c>
      <c r="AJ109" s="4">
        <f>CHAR(65+MOD(SUMPRODUCT(SUMIF('Codice fiscale'!$A$5:$A$40,MID(C109,{1,3,5,7,9,11,13,15},1),'Codice fiscale'!$B$5:$B$40))+SUMPRODUCT(SUMIF('Codice fiscale'!$A$5:$A$40,MID(C109,{2,4,6,8,10,12,14},1),'Codice fiscale'!$C$5:$C$40)),26))</f>
        <v/>
      </c>
      <c r="AK109" s="4">
        <f>IF(ABS(I109-X109)&gt;Parametri!$C$11,"ERRORE","OK")</f>
        <v/>
      </c>
      <c r="AL109" s="4">
        <f>IF(ABS(K109-AA109)&gt;Parametri!$C$11,"ERRORE","OK")</f>
        <v/>
      </c>
      <c r="AM109" s="4">
        <f>IF(ABS(O109-AB109)&gt;Parametri!$C$11,"ERRORE","OK")</f>
        <v/>
      </c>
      <c r="AN109" s="4">
        <f>IF(ABS(T109-AC109)&gt;Parametri!$C$11,"ERRORE","OK")</f>
        <v/>
      </c>
      <c r="AO109" s="4">
        <f>IF(ABS(W109-AE109)&gt;Parametri!$C$12,"ERRORE","OK")</f>
        <v/>
      </c>
      <c r="AP109" s="4">
        <f>IF(OR(ABS(N109-AF109)&gt;Parametri!$C$11,ABS(S109-AG109)&gt;Parametri!$C$11),"ERRORE","OK")</f>
        <v/>
      </c>
      <c r="AQ109" s="4">
        <f>IF(AI109="","OK",IF(AND(ABS(AI109)&gt;Parametri!$C$10,G109=""),"ERRORE","OK"))</f>
        <v/>
      </c>
      <c r="AR109" s="4">
        <f>IF(AND(LEN(C109)=16,RIGHT(C109,1)=AJ109),"OK","ERRORE")</f>
        <v/>
      </c>
      <c r="AS109" s="12">
        <f>COUNTIF(AK109:AR109,"ERRORE")</f>
        <v/>
      </c>
    </row>
    <row r="110">
      <c r="A110" s="15" t="inlineStr">
        <is>
          <t>C106</t>
        </is>
      </c>
      <c r="B110" s="15" t="inlineStr">
        <is>
          <t>C</t>
        </is>
      </c>
      <c r="C110" s="15" t="inlineStr">
        <is>
          <t>NFFBLN93A65Z116L</t>
        </is>
      </c>
      <c r="D110" s="15" t="inlineStr">
        <is>
          <t>4</t>
        </is>
      </c>
      <c r="E110" s="16" t="n">
        <v>41186</v>
      </c>
      <c r="F110" s="17" t="n">
        <v>1</v>
      </c>
      <c r="G110" s="15" t="inlineStr"/>
      <c r="H110" s="15" t="b">
        <v>1</v>
      </c>
      <c r="I110" s="17" t="n">
        <v>1781.68</v>
      </c>
      <c r="J110" s="15" t="n">
        <v>4</v>
      </c>
      <c r="K110" s="17" t="n">
        <v>82.64</v>
      </c>
      <c r="L110" s="17" t="n">
        <v>0</v>
      </c>
      <c r="M110" s="17" t="n">
        <v>0</v>
      </c>
      <c r="N110" s="17" t="n">
        <v>1864.32</v>
      </c>
      <c r="O110" s="17" t="n">
        <v>171.33</v>
      </c>
      <c r="P110" s="17" t="n">
        <v>1692.99</v>
      </c>
      <c r="Q110" s="17" t="n">
        <v>244.19</v>
      </c>
      <c r="R110" s="17" t="n">
        <v>25.39</v>
      </c>
      <c r="S110" s="17" t="n">
        <v>1423.41</v>
      </c>
      <c r="T110" s="17" t="n">
        <v>161.11</v>
      </c>
      <c r="U110" s="18" t="n">
        <v>2.1667</v>
      </c>
      <c r="V110" s="18" t="n">
        <v>2</v>
      </c>
      <c r="W110" s="18" t="n">
        <v>23.541</v>
      </c>
      <c r="X110" s="19">
        <f>ROUND(INDEX(CCNL!$F$5:$F$12,MATCH(D110,CCNL!$A$5:$A$12,0))*F110,2)</f>
        <v/>
      </c>
      <c r="Y110" s="4">
        <f>(YEAR(Parametri!$C$5)*12+MONTH(Parametri!$C$5))-(YEAR(E110)*12+MONTH(E110))</f>
        <v/>
      </c>
      <c r="Z110" s="4">
        <f>MIN(Parametri!$C$13,MAX(0,INT((Y110-1)/36)))</f>
        <v/>
      </c>
      <c r="AA110" s="19">
        <f>ROUND(INDEX(CCNL!$I$5:$I$12,MATCH(D110,CCNL!$A$5:$A$12,0))*Z110*F110,2)</f>
        <v/>
      </c>
      <c r="AB110" s="19">
        <f>ROUND(N110*Parametri!$C$6,2)</f>
        <v/>
      </c>
      <c r="AC110" s="19">
        <f>ROUND((I110+K110+L110)*Parametri!$C$8/Parametri!$C$7/12,2)</f>
        <v/>
      </c>
      <c r="AD110" s="20">
        <f>IFERROR(INDEX(Agosto!$D$5:$D$173,MATCH(A110,Agosto!$A$5:$A$173,0)),0)</f>
        <v/>
      </c>
      <c r="AE110" s="21">
        <f>ROUND(AD110+ROUND(Parametri!$C$9/12,4)-V110,4)</f>
        <v/>
      </c>
      <c r="AF110" s="19">
        <f>ROUND(I110+K110+L110+M110,2)</f>
        <v/>
      </c>
      <c r="AG110" s="19">
        <f>ROUND(N110-O110-Q110-R110,2)</f>
        <v/>
      </c>
      <c r="AH110" s="22">
        <f>IFERROR(INDEX(Agosto!$C$5:$C$173,MATCH(A110,Agosto!$A$5:$A$173,0)),"")</f>
        <v/>
      </c>
      <c r="AI110" s="23">
        <f>IF(AH110="","",S110/AH110-1)</f>
        <v/>
      </c>
      <c r="AJ110" s="4">
        <f>CHAR(65+MOD(SUMPRODUCT(SUMIF('Codice fiscale'!$A$5:$A$40,MID(C110,{1,3,5,7,9,11,13,15},1),'Codice fiscale'!$B$5:$B$40))+SUMPRODUCT(SUMIF('Codice fiscale'!$A$5:$A$40,MID(C110,{2,4,6,8,10,12,14},1),'Codice fiscale'!$C$5:$C$40)),26))</f>
        <v/>
      </c>
      <c r="AK110" s="4">
        <f>IF(ABS(I110-X110)&gt;Parametri!$C$11,"ERRORE","OK")</f>
        <v/>
      </c>
      <c r="AL110" s="4">
        <f>IF(ABS(K110-AA110)&gt;Parametri!$C$11,"ERRORE","OK")</f>
        <v/>
      </c>
      <c r="AM110" s="4">
        <f>IF(ABS(O110-AB110)&gt;Parametri!$C$11,"ERRORE","OK")</f>
        <v/>
      </c>
      <c r="AN110" s="4">
        <f>IF(ABS(T110-AC110)&gt;Parametri!$C$11,"ERRORE","OK")</f>
        <v/>
      </c>
      <c r="AO110" s="4">
        <f>IF(ABS(W110-AE110)&gt;Parametri!$C$12,"ERRORE","OK")</f>
        <v/>
      </c>
      <c r="AP110" s="4">
        <f>IF(OR(ABS(N110-AF110)&gt;Parametri!$C$11,ABS(S110-AG110)&gt;Parametri!$C$11),"ERRORE","OK")</f>
        <v/>
      </c>
      <c r="AQ110" s="4">
        <f>IF(AI110="","OK",IF(AND(ABS(AI110)&gt;Parametri!$C$10,G110=""),"ERRORE","OK"))</f>
        <v/>
      </c>
      <c r="AR110" s="4">
        <f>IF(AND(LEN(C110)=16,RIGHT(C110,1)=AJ110),"OK","ERRORE")</f>
        <v/>
      </c>
      <c r="AS110" s="12">
        <f>COUNTIF(AK110:AR110,"ERRORE")</f>
        <v/>
      </c>
    </row>
    <row r="111">
      <c r="A111" s="15" t="inlineStr">
        <is>
          <t>C107</t>
        </is>
      </c>
      <c r="B111" s="15" t="inlineStr">
        <is>
          <t>C</t>
        </is>
      </c>
      <c r="C111" s="15" t="inlineStr">
        <is>
          <t>ZCCGMF94M55Z282A</t>
        </is>
      </c>
      <c r="D111" s="15" t="inlineStr">
        <is>
          <t>5</t>
        </is>
      </c>
      <c r="E111" s="16" t="n">
        <v>45558</v>
      </c>
      <c r="F111" s="17" t="n">
        <v>0.75</v>
      </c>
      <c r="G111" s="15" t="inlineStr"/>
      <c r="H111" s="15" t="b">
        <v>1</v>
      </c>
      <c r="I111" s="17" t="n">
        <v>1243.51</v>
      </c>
      <c r="J111" s="15" t="n">
        <v>0</v>
      </c>
      <c r="K111" s="17" t="n">
        <v>0</v>
      </c>
      <c r="L111" s="17" t="n">
        <v>112.5</v>
      </c>
      <c r="M111" s="17" t="n">
        <v>0</v>
      </c>
      <c r="N111" s="17" t="n">
        <v>1356.01</v>
      </c>
      <c r="O111" s="17" t="n">
        <v>124.62</v>
      </c>
      <c r="P111" s="17" t="n">
        <v>1231.39</v>
      </c>
      <c r="Q111" s="17" t="n">
        <v>120.3</v>
      </c>
      <c r="R111" s="17" t="n">
        <v>18.47</v>
      </c>
      <c r="S111" s="17" t="n">
        <v>1092.62</v>
      </c>
      <c r="T111" s="17" t="n">
        <v>117.19</v>
      </c>
      <c r="U111" s="18" t="n">
        <v>2.1667</v>
      </c>
      <c r="V111" s="18" t="n">
        <v>1</v>
      </c>
      <c r="W111" s="18" t="n">
        <v>6.3025</v>
      </c>
      <c r="X111" s="19">
        <f>ROUND(INDEX(CCNL!$F$5:$F$12,MATCH(D111,CCNL!$A$5:$A$12,0))*F111,2)</f>
        <v/>
      </c>
      <c r="Y111" s="4">
        <f>(YEAR(Parametri!$C$5)*12+MONTH(Parametri!$C$5))-(YEAR(E111)*12+MONTH(E111))</f>
        <v/>
      </c>
      <c r="Z111" s="4">
        <f>MIN(Parametri!$C$13,MAX(0,INT((Y111-1)/36)))</f>
        <v/>
      </c>
      <c r="AA111" s="19">
        <f>ROUND(INDEX(CCNL!$I$5:$I$12,MATCH(D111,CCNL!$A$5:$A$12,0))*Z111*F111,2)</f>
        <v/>
      </c>
      <c r="AB111" s="19">
        <f>ROUND(N111*Parametri!$C$6,2)</f>
        <v/>
      </c>
      <c r="AC111" s="19">
        <f>ROUND((I111+K111+L111)*Parametri!$C$8/Parametri!$C$7/12,2)</f>
        <v/>
      </c>
      <c r="AD111" s="20">
        <f>IFERROR(INDEX(Agosto!$D$5:$D$173,MATCH(A111,Agosto!$A$5:$A$173,0)),0)</f>
        <v/>
      </c>
      <c r="AE111" s="21">
        <f>ROUND(AD111+ROUND(Parametri!$C$9/12,4)-V111,4)</f>
        <v/>
      </c>
      <c r="AF111" s="19">
        <f>ROUND(I111+K111+L111+M111,2)</f>
        <v/>
      </c>
      <c r="AG111" s="19">
        <f>ROUND(N111-O111-Q111-R111,2)</f>
        <v/>
      </c>
      <c r="AH111" s="22">
        <f>IFERROR(INDEX(Agosto!$C$5:$C$173,MATCH(A111,Agosto!$A$5:$A$173,0)),"")</f>
        <v/>
      </c>
      <c r="AI111" s="23">
        <f>IF(AH111="","",S111/AH111-1)</f>
        <v/>
      </c>
      <c r="AJ111" s="4">
        <f>CHAR(65+MOD(SUMPRODUCT(SUMIF('Codice fiscale'!$A$5:$A$40,MID(C111,{1,3,5,7,9,11,13,15},1),'Codice fiscale'!$B$5:$B$40))+SUMPRODUCT(SUMIF('Codice fiscale'!$A$5:$A$40,MID(C111,{2,4,6,8,10,12,14},1),'Codice fiscale'!$C$5:$C$40)),26))</f>
        <v/>
      </c>
      <c r="AK111" s="4">
        <f>IF(ABS(I111-X111)&gt;Parametri!$C$11,"ERRORE","OK")</f>
        <v/>
      </c>
      <c r="AL111" s="4">
        <f>IF(ABS(K111-AA111)&gt;Parametri!$C$11,"ERRORE","OK")</f>
        <v/>
      </c>
      <c r="AM111" s="4">
        <f>IF(ABS(O111-AB111)&gt;Parametri!$C$11,"ERRORE","OK")</f>
        <v/>
      </c>
      <c r="AN111" s="4">
        <f>IF(ABS(T111-AC111)&gt;Parametri!$C$11,"ERRORE","OK")</f>
        <v/>
      </c>
      <c r="AO111" s="4">
        <f>IF(ABS(W111-AE111)&gt;Parametri!$C$12,"ERRORE","OK")</f>
        <v/>
      </c>
      <c r="AP111" s="4">
        <f>IF(OR(ABS(N111-AF111)&gt;Parametri!$C$11,ABS(S111-AG111)&gt;Parametri!$C$11),"ERRORE","OK")</f>
        <v/>
      </c>
      <c r="AQ111" s="4">
        <f>IF(AI111="","OK",IF(AND(ABS(AI111)&gt;Parametri!$C$10,G111=""),"ERRORE","OK"))</f>
        <v/>
      </c>
      <c r="AR111" s="4">
        <f>IF(AND(LEN(C111)=16,RIGHT(C111,1)=AJ111),"OK","ERRORE")</f>
        <v/>
      </c>
      <c r="AS111" s="12">
        <f>COUNTIF(AK111:AR111,"ERRORE")</f>
        <v/>
      </c>
    </row>
    <row r="112">
      <c r="A112" s="15" t="inlineStr">
        <is>
          <t>C108</t>
        </is>
      </c>
      <c r="B112" s="15" t="inlineStr">
        <is>
          <t>C</t>
        </is>
      </c>
      <c r="C112" s="15" t="inlineStr">
        <is>
          <t>BBGDMF63D57Z326I</t>
        </is>
      </c>
      <c r="D112" s="15" t="inlineStr">
        <is>
          <t>6</t>
        </is>
      </c>
      <c r="E112" s="16" t="n">
        <v>40180</v>
      </c>
      <c r="F112" s="17" t="n">
        <v>1</v>
      </c>
      <c r="G112" s="15" t="inlineStr"/>
      <c r="H112" s="15" t="b">
        <v>0</v>
      </c>
      <c r="I112" s="17" t="n">
        <v>1539.7</v>
      </c>
      <c r="J112" s="15" t="n">
        <v>5</v>
      </c>
      <c r="K112" s="17" t="n">
        <v>98.65000000000001</v>
      </c>
      <c r="L112" s="17" t="n">
        <v>50</v>
      </c>
      <c r="M112" s="17" t="n">
        <v>0</v>
      </c>
      <c r="N112" s="17" t="n">
        <v>1688.35</v>
      </c>
      <c r="O112" s="17" t="n">
        <v>155.16</v>
      </c>
      <c r="P112" s="17" t="n">
        <v>1533.19</v>
      </c>
      <c r="Q112" s="17" t="n">
        <v>201.04</v>
      </c>
      <c r="R112" s="17" t="n">
        <v>23</v>
      </c>
      <c r="S112" s="17" t="n">
        <v>1309.15</v>
      </c>
      <c r="T112" s="17" t="n">
        <v>145.91</v>
      </c>
      <c r="U112" s="18" t="n">
        <v>2.1667</v>
      </c>
      <c r="V112" s="18" t="n">
        <v>0</v>
      </c>
      <c r="W112" s="18" t="n">
        <v>17.494</v>
      </c>
      <c r="X112" s="19">
        <f>ROUND(INDEX(CCNL!$F$5:$F$12,MATCH(D112,CCNL!$A$5:$A$12,0))*F112,2)</f>
        <v/>
      </c>
      <c r="Y112" s="4">
        <f>(YEAR(Parametri!$C$5)*12+MONTH(Parametri!$C$5))-(YEAR(E112)*12+MONTH(E112))</f>
        <v/>
      </c>
      <c r="Z112" s="4">
        <f>MIN(Parametri!$C$13,MAX(0,INT((Y112-1)/36)))</f>
        <v/>
      </c>
      <c r="AA112" s="19">
        <f>ROUND(INDEX(CCNL!$I$5:$I$12,MATCH(D112,CCNL!$A$5:$A$12,0))*Z112*F112,2)</f>
        <v/>
      </c>
      <c r="AB112" s="19">
        <f>ROUND(N112*Parametri!$C$6,2)</f>
        <v/>
      </c>
      <c r="AC112" s="19">
        <f>ROUND((I112+K112+L112)*Parametri!$C$8/Parametri!$C$7/12,2)</f>
        <v/>
      </c>
      <c r="AD112" s="20">
        <f>IFERROR(INDEX(Agosto!$D$5:$D$173,MATCH(A112,Agosto!$A$5:$A$173,0)),0)</f>
        <v/>
      </c>
      <c r="AE112" s="21">
        <f>ROUND(AD112+ROUND(Parametri!$C$9/12,4)-V112,4)</f>
        <v/>
      </c>
      <c r="AF112" s="19">
        <f>ROUND(I112+K112+L112+M112,2)</f>
        <v/>
      </c>
      <c r="AG112" s="19">
        <f>ROUND(N112-O112-Q112-R112,2)</f>
        <v/>
      </c>
      <c r="AH112" s="22">
        <f>IFERROR(INDEX(Agosto!$C$5:$C$173,MATCH(A112,Agosto!$A$5:$A$173,0)),"")</f>
        <v/>
      </c>
      <c r="AI112" s="23">
        <f>IF(AH112="","",S112/AH112-1)</f>
        <v/>
      </c>
      <c r="AJ112" s="4">
        <f>CHAR(65+MOD(SUMPRODUCT(SUMIF('Codice fiscale'!$A$5:$A$40,MID(C112,{1,3,5,7,9,11,13,15},1),'Codice fiscale'!$B$5:$B$40))+SUMPRODUCT(SUMIF('Codice fiscale'!$A$5:$A$40,MID(C112,{2,4,6,8,10,12,14},1),'Codice fiscale'!$C$5:$C$40)),26))</f>
        <v/>
      </c>
      <c r="AK112" s="4">
        <f>IF(ABS(I112-X112)&gt;Parametri!$C$11,"ERRORE","OK")</f>
        <v/>
      </c>
      <c r="AL112" s="4">
        <f>IF(ABS(K112-AA112)&gt;Parametri!$C$11,"ERRORE","OK")</f>
        <v/>
      </c>
      <c r="AM112" s="4">
        <f>IF(ABS(O112-AB112)&gt;Parametri!$C$11,"ERRORE","OK")</f>
        <v/>
      </c>
      <c r="AN112" s="4">
        <f>IF(ABS(T112-AC112)&gt;Parametri!$C$11,"ERRORE","OK")</f>
        <v/>
      </c>
      <c r="AO112" s="4">
        <f>IF(ABS(W112-AE112)&gt;Parametri!$C$12,"ERRORE","OK")</f>
        <v/>
      </c>
      <c r="AP112" s="4">
        <f>IF(OR(ABS(N112-AF112)&gt;Parametri!$C$11,ABS(S112-AG112)&gt;Parametri!$C$11),"ERRORE","OK")</f>
        <v/>
      </c>
      <c r="AQ112" s="4">
        <f>IF(AI112="","OK",IF(AND(ABS(AI112)&gt;Parametri!$C$10,G112=""),"ERRORE","OK"))</f>
        <v/>
      </c>
      <c r="AR112" s="4">
        <f>IF(AND(LEN(C112)=16,RIGHT(C112,1)=AJ112),"OK","ERRORE")</f>
        <v/>
      </c>
      <c r="AS112" s="12">
        <f>COUNTIF(AK112:AR112,"ERRORE")</f>
        <v/>
      </c>
    </row>
    <row r="113">
      <c r="A113" s="15" t="inlineStr">
        <is>
          <t>C109</t>
        </is>
      </c>
      <c r="B113" s="15" t="inlineStr">
        <is>
          <t>C</t>
        </is>
      </c>
      <c r="C113" s="15" t="inlineStr">
        <is>
          <t>CDMNBP93B11Z147V</t>
        </is>
      </c>
      <c r="D113" s="15" t="inlineStr">
        <is>
          <t>5</t>
        </is>
      </c>
      <c r="E113" s="16" t="n">
        <v>46179</v>
      </c>
      <c r="F113" s="17" t="n">
        <v>1</v>
      </c>
      <c r="G113" s="15" t="inlineStr"/>
      <c r="H113" s="15" t="b">
        <v>0</v>
      </c>
      <c r="I113" s="17" t="n">
        <v>1658.01</v>
      </c>
      <c r="J113" s="15" t="n">
        <v>0</v>
      </c>
      <c r="K113" s="17" t="n">
        <v>0</v>
      </c>
      <c r="L113" s="17" t="n">
        <v>0</v>
      </c>
      <c r="M113" s="17" t="n">
        <v>0</v>
      </c>
      <c r="N113" s="17" t="n">
        <v>1658.01</v>
      </c>
      <c r="O113" s="17" t="n">
        <v>152.37</v>
      </c>
      <c r="P113" s="17" t="n">
        <v>1505.64</v>
      </c>
      <c r="Q113" s="17" t="n">
        <v>193.61</v>
      </c>
      <c r="R113" s="17" t="n">
        <v>22.58</v>
      </c>
      <c r="S113" s="17" t="n">
        <v>1289.45</v>
      </c>
      <c r="T113" s="17" t="n">
        <v>143.28</v>
      </c>
      <c r="U113" s="18" t="n">
        <v>2.1667</v>
      </c>
      <c r="V113" s="18" t="n">
        <v>0</v>
      </c>
      <c r="W113" s="18" t="n">
        <v>4.4542</v>
      </c>
      <c r="X113" s="19">
        <f>ROUND(INDEX(CCNL!$F$5:$F$12,MATCH(D113,CCNL!$A$5:$A$12,0))*F113,2)</f>
        <v/>
      </c>
      <c r="Y113" s="4">
        <f>(YEAR(Parametri!$C$5)*12+MONTH(Parametri!$C$5))-(YEAR(E113)*12+MONTH(E113))</f>
        <v/>
      </c>
      <c r="Z113" s="4">
        <f>MIN(Parametri!$C$13,MAX(0,INT((Y113-1)/36)))</f>
        <v/>
      </c>
      <c r="AA113" s="19">
        <f>ROUND(INDEX(CCNL!$I$5:$I$12,MATCH(D113,CCNL!$A$5:$A$12,0))*Z113*F113,2)</f>
        <v/>
      </c>
      <c r="AB113" s="19">
        <f>ROUND(N113*Parametri!$C$6,2)</f>
        <v/>
      </c>
      <c r="AC113" s="19">
        <f>ROUND((I113+K113+L113)*Parametri!$C$8/Parametri!$C$7/12,2)</f>
        <v/>
      </c>
      <c r="AD113" s="20">
        <f>IFERROR(INDEX(Agosto!$D$5:$D$173,MATCH(A113,Agosto!$A$5:$A$173,0)),0)</f>
        <v/>
      </c>
      <c r="AE113" s="21">
        <f>ROUND(AD113+ROUND(Parametri!$C$9/12,4)-V113,4)</f>
        <v/>
      </c>
      <c r="AF113" s="19">
        <f>ROUND(I113+K113+L113+M113,2)</f>
        <v/>
      </c>
      <c r="AG113" s="19">
        <f>ROUND(N113-O113-Q113-R113,2)</f>
        <v/>
      </c>
      <c r="AH113" s="22">
        <f>IFERROR(INDEX(Agosto!$C$5:$C$173,MATCH(A113,Agosto!$A$5:$A$173,0)),"")</f>
        <v/>
      </c>
      <c r="AI113" s="23">
        <f>IF(AH113="","",S113/AH113-1)</f>
        <v/>
      </c>
      <c r="AJ113" s="4">
        <f>CHAR(65+MOD(SUMPRODUCT(SUMIF('Codice fiscale'!$A$5:$A$40,MID(C113,{1,3,5,7,9,11,13,15},1),'Codice fiscale'!$B$5:$B$40))+SUMPRODUCT(SUMIF('Codice fiscale'!$A$5:$A$40,MID(C113,{2,4,6,8,10,12,14},1),'Codice fiscale'!$C$5:$C$40)),26))</f>
        <v/>
      </c>
      <c r="AK113" s="4">
        <f>IF(ABS(I113-X113)&gt;Parametri!$C$11,"ERRORE","OK")</f>
        <v/>
      </c>
      <c r="AL113" s="4">
        <f>IF(ABS(K113-AA113)&gt;Parametri!$C$11,"ERRORE","OK")</f>
        <v/>
      </c>
      <c r="AM113" s="4">
        <f>IF(ABS(O113-AB113)&gt;Parametri!$C$11,"ERRORE","OK")</f>
        <v/>
      </c>
      <c r="AN113" s="4">
        <f>IF(ABS(T113-AC113)&gt;Parametri!$C$11,"ERRORE","OK")</f>
        <v/>
      </c>
      <c r="AO113" s="4">
        <f>IF(ABS(W113-AE113)&gt;Parametri!$C$12,"ERRORE","OK")</f>
        <v/>
      </c>
      <c r="AP113" s="4">
        <f>IF(OR(ABS(N113-AF113)&gt;Parametri!$C$11,ABS(S113-AG113)&gt;Parametri!$C$11),"ERRORE","OK")</f>
        <v/>
      </c>
      <c r="AQ113" s="4">
        <f>IF(AI113="","OK",IF(AND(ABS(AI113)&gt;Parametri!$C$10,G113=""),"ERRORE","OK"))</f>
        <v/>
      </c>
      <c r="AR113" s="4">
        <f>IF(AND(LEN(C113)=16,RIGHT(C113,1)=AJ113),"OK","ERRORE")</f>
        <v/>
      </c>
      <c r="AS113" s="12">
        <f>COUNTIF(AK113:AR113,"ERRORE")</f>
        <v/>
      </c>
    </row>
    <row r="114">
      <c r="A114" s="15" t="inlineStr">
        <is>
          <t>C110</t>
        </is>
      </c>
      <c r="B114" s="15" t="inlineStr">
        <is>
          <t>C</t>
        </is>
      </c>
      <c r="C114" s="15" t="inlineStr">
        <is>
          <t>FRZPCT90M01Z197A</t>
        </is>
      </c>
      <c r="D114" s="15" t="inlineStr">
        <is>
          <t>5</t>
        </is>
      </c>
      <c r="E114" s="16" t="n">
        <v>43697</v>
      </c>
      <c r="F114" s="17" t="n">
        <v>1</v>
      </c>
      <c r="G114" s="15" t="inlineStr">
        <is>
          <t>straordinari</t>
        </is>
      </c>
      <c r="H114" s="15" t="b">
        <v>1</v>
      </c>
      <c r="I114" s="17" t="n">
        <v>1658.01</v>
      </c>
      <c r="J114" s="15" t="n">
        <v>2</v>
      </c>
      <c r="K114" s="17" t="n">
        <v>40.6</v>
      </c>
      <c r="L114" s="17" t="n">
        <v>0</v>
      </c>
      <c r="M114" s="17" t="n">
        <v>494.21</v>
      </c>
      <c r="N114" s="17" t="n">
        <v>2192.82</v>
      </c>
      <c r="O114" s="17" t="n">
        <v>201.52</v>
      </c>
      <c r="P114" s="17" t="n">
        <v>1991.3</v>
      </c>
      <c r="Q114" s="17" t="n">
        <v>324.73</v>
      </c>
      <c r="R114" s="17" t="n">
        <v>29.87</v>
      </c>
      <c r="S114" s="17" t="n">
        <v>1636.7</v>
      </c>
      <c r="T114" s="17" t="n">
        <v>146.79</v>
      </c>
      <c r="U114" s="18" t="n">
        <v>2.1667</v>
      </c>
      <c r="V114" s="18" t="n">
        <v>0</v>
      </c>
      <c r="W114" s="18" t="n">
        <v>19.153</v>
      </c>
      <c r="X114" s="19">
        <f>ROUND(INDEX(CCNL!$F$5:$F$12,MATCH(D114,CCNL!$A$5:$A$12,0))*F114,2)</f>
        <v/>
      </c>
      <c r="Y114" s="4">
        <f>(YEAR(Parametri!$C$5)*12+MONTH(Parametri!$C$5))-(YEAR(E114)*12+MONTH(E114))</f>
        <v/>
      </c>
      <c r="Z114" s="4">
        <f>MIN(Parametri!$C$13,MAX(0,INT((Y114-1)/36)))</f>
        <v/>
      </c>
      <c r="AA114" s="19">
        <f>ROUND(INDEX(CCNL!$I$5:$I$12,MATCH(D114,CCNL!$A$5:$A$12,0))*Z114*F114,2)</f>
        <v/>
      </c>
      <c r="AB114" s="19">
        <f>ROUND(N114*Parametri!$C$6,2)</f>
        <v/>
      </c>
      <c r="AC114" s="19">
        <f>ROUND((I114+K114+L114)*Parametri!$C$8/Parametri!$C$7/12,2)</f>
        <v/>
      </c>
      <c r="AD114" s="20">
        <f>IFERROR(INDEX(Agosto!$D$5:$D$173,MATCH(A114,Agosto!$A$5:$A$173,0)),0)</f>
        <v/>
      </c>
      <c r="AE114" s="21">
        <f>ROUND(AD114+ROUND(Parametri!$C$9/12,4)-V114,4)</f>
        <v/>
      </c>
      <c r="AF114" s="19">
        <f>ROUND(I114+K114+L114+M114,2)</f>
        <v/>
      </c>
      <c r="AG114" s="19">
        <f>ROUND(N114-O114-Q114-R114,2)</f>
        <v/>
      </c>
      <c r="AH114" s="22">
        <f>IFERROR(INDEX(Agosto!$C$5:$C$173,MATCH(A114,Agosto!$A$5:$A$173,0)),"")</f>
        <v/>
      </c>
      <c r="AI114" s="23">
        <f>IF(AH114="","",S114/AH114-1)</f>
        <v/>
      </c>
      <c r="AJ114" s="4">
        <f>CHAR(65+MOD(SUMPRODUCT(SUMIF('Codice fiscale'!$A$5:$A$40,MID(C114,{1,3,5,7,9,11,13,15},1),'Codice fiscale'!$B$5:$B$40))+SUMPRODUCT(SUMIF('Codice fiscale'!$A$5:$A$40,MID(C114,{2,4,6,8,10,12,14},1),'Codice fiscale'!$C$5:$C$40)),26))</f>
        <v/>
      </c>
      <c r="AK114" s="4">
        <f>IF(ABS(I114-X114)&gt;Parametri!$C$11,"ERRORE","OK")</f>
        <v/>
      </c>
      <c r="AL114" s="4">
        <f>IF(ABS(K114-AA114)&gt;Parametri!$C$11,"ERRORE","OK")</f>
        <v/>
      </c>
      <c r="AM114" s="4">
        <f>IF(ABS(O114-AB114)&gt;Parametri!$C$11,"ERRORE","OK")</f>
        <v/>
      </c>
      <c r="AN114" s="4">
        <f>IF(ABS(T114-AC114)&gt;Parametri!$C$11,"ERRORE","OK")</f>
        <v/>
      </c>
      <c r="AO114" s="4">
        <f>IF(ABS(W114-AE114)&gt;Parametri!$C$12,"ERRORE","OK")</f>
        <v/>
      </c>
      <c r="AP114" s="4">
        <f>IF(OR(ABS(N114-AF114)&gt;Parametri!$C$11,ABS(S114-AG114)&gt;Parametri!$C$11),"ERRORE","OK")</f>
        <v/>
      </c>
      <c r="AQ114" s="4">
        <f>IF(AI114="","OK",IF(AND(ABS(AI114)&gt;Parametri!$C$10,G114=""),"ERRORE","OK"))</f>
        <v/>
      </c>
      <c r="AR114" s="4">
        <f>IF(AND(LEN(C114)=16,RIGHT(C114,1)=AJ114),"OK","ERRORE")</f>
        <v/>
      </c>
      <c r="AS114" s="12">
        <f>COUNTIF(AK114:AR114,"ERRORE")</f>
        <v/>
      </c>
    </row>
    <row r="115">
      <c r="A115" s="15" t="inlineStr">
        <is>
          <t>C111</t>
        </is>
      </c>
      <c r="B115" s="15" t="inlineStr">
        <is>
          <t>C</t>
        </is>
      </c>
      <c r="C115" s="15" t="inlineStr">
        <is>
          <t>DZRZRR70M62Z154T</t>
        </is>
      </c>
      <c r="D115" s="15" t="inlineStr">
        <is>
          <t>3</t>
        </is>
      </c>
      <c r="E115" s="16" t="n">
        <v>37148</v>
      </c>
      <c r="F115" s="17" t="n">
        <v>1</v>
      </c>
      <c r="G115" s="15" t="inlineStr"/>
      <c r="H115" s="15" t="b">
        <v>0</v>
      </c>
      <c r="I115" s="17" t="n">
        <v>1981.84</v>
      </c>
      <c r="J115" s="15" t="n">
        <v>8</v>
      </c>
      <c r="K115" s="17" t="n">
        <v>175.6</v>
      </c>
      <c r="L115" s="17" t="n">
        <v>0</v>
      </c>
      <c r="M115" s="17" t="n">
        <v>0</v>
      </c>
      <c r="N115" s="17" t="n">
        <v>2157.44</v>
      </c>
      <c r="O115" s="17" t="n">
        <v>198.27</v>
      </c>
      <c r="P115" s="17" t="n">
        <v>1959.17</v>
      </c>
      <c r="Q115" s="17" t="n">
        <v>316.06</v>
      </c>
      <c r="R115" s="17" t="n">
        <v>29.39</v>
      </c>
      <c r="S115" s="17" t="n">
        <v>1613.72</v>
      </c>
      <c r="T115" s="17" t="n">
        <v>186.45</v>
      </c>
      <c r="U115" s="18" t="n">
        <v>2.1667</v>
      </c>
      <c r="V115" s="18" t="n">
        <v>0</v>
      </c>
      <c r="W115" s="18" t="n">
        <v>21.8881</v>
      </c>
      <c r="X115" s="19">
        <f>ROUND(INDEX(CCNL!$F$5:$F$12,MATCH(D115,CCNL!$A$5:$A$12,0))*F115,2)</f>
        <v/>
      </c>
      <c r="Y115" s="4">
        <f>(YEAR(Parametri!$C$5)*12+MONTH(Parametri!$C$5))-(YEAR(E115)*12+MONTH(E115))</f>
        <v/>
      </c>
      <c r="Z115" s="4">
        <f>MIN(Parametri!$C$13,MAX(0,INT((Y115-1)/36)))</f>
        <v/>
      </c>
      <c r="AA115" s="19">
        <f>ROUND(INDEX(CCNL!$I$5:$I$12,MATCH(D115,CCNL!$A$5:$A$12,0))*Z115*F115,2)</f>
        <v/>
      </c>
      <c r="AB115" s="19">
        <f>ROUND(N115*Parametri!$C$6,2)</f>
        <v/>
      </c>
      <c r="AC115" s="19">
        <f>ROUND((I115+K115+L115)*Parametri!$C$8/Parametri!$C$7/12,2)</f>
        <v/>
      </c>
      <c r="AD115" s="20">
        <f>IFERROR(INDEX(Agosto!$D$5:$D$173,MATCH(A115,Agosto!$A$5:$A$173,0)),0)</f>
        <v/>
      </c>
      <c r="AE115" s="21">
        <f>ROUND(AD115+ROUND(Parametri!$C$9/12,4)-V115,4)</f>
        <v/>
      </c>
      <c r="AF115" s="19">
        <f>ROUND(I115+K115+L115+M115,2)</f>
        <v/>
      </c>
      <c r="AG115" s="19">
        <f>ROUND(N115-O115-Q115-R115,2)</f>
        <v/>
      </c>
      <c r="AH115" s="22">
        <f>IFERROR(INDEX(Agosto!$C$5:$C$173,MATCH(A115,Agosto!$A$5:$A$173,0)),"")</f>
        <v/>
      </c>
      <c r="AI115" s="23">
        <f>IF(AH115="","",S115/AH115-1)</f>
        <v/>
      </c>
      <c r="AJ115" s="4">
        <f>CHAR(65+MOD(SUMPRODUCT(SUMIF('Codice fiscale'!$A$5:$A$40,MID(C115,{1,3,5,7,9,11,13,15},1),'Codice fiscale'!$B$5:$B$40))+SUMPRODUCT(SUMIF('Codice fiscale'!$A$5:$A$40,MID(C115,{2,4,6,8,10,12,14},1),'Codice fiscale'!$C$5:$C$40)),26))</f>
        <v/>
      </c>
      <c r="AK115" s="4">
        <f>IF(ABS(I115-X115)&gt;Parametri!$C$11,"ERRORE","OK")</f>
        <v/>
      </c>
      <c r="AL115" s="4">
        <f>IF(ABS(K115-AA115)&gt;Parametri!$C$11,"ERRORE","OK")</f>
        <v/>
      </c>
      <c r="AM115" s="4">
        <f>IF(ABS(O115-AB115)&gt;Parametri!$C$11,"ERRORE","OK")</f>
        <v/>
      </c>
      <c r="AN115" s="4">
        <f>IF(ABS(T115-AC115)&gt;Parametri!$C$11,"ERRORE","OK")</f>
        <v/>
      </c>
      <c r="AO115" s="4">
        <f>IF(ABS(W115-AE115)&gt;Parametri!$C$12,"ERRORE","OK")</f>
        <v/>
      </c>
      <c r="AP115" s="4">
        <f>IF(OR(ABS(N115-AF115)&gt;Parametri!$C$11,ABS(S115-AG115)&gt;Parametri!$C$11),"ERRORE","OK")</f>
        <v/>
      </c>
      <c r="AQ115" s="4">
        <f>IF(AI115="","OK",IF(AND(ABS(AI115)&gt;Parametri!$C$10,G115=""),"ERRORE","OK"))</f>
        <v/>
      </c>
      <c r="AR115" s="4">
        <f>IF(AND(LEN(C115)=16,RIGHT(C115,1)=AJ115),"OK","ERRORE")</f>
        <v/>
      </c>
      <c r="AS115" s="12">
        <f>COUNTIF(AK115:AR115,"ERRORE")</f>
        <v/>
      </c>
    </row>
    <row r="116">
      <c r="A116" s="15" t="inlineStr">
        <is>
          <t>C112</t>
        </is>
      </c>
      <c r="B116" s="15" t="inlineStr">
        <is>
          <t>C</t>
        </is>
      </c>
      <c r="C116" s="15" t="inlineStr">
        <is>
          <t>MMFZLC63S13Z302T</t>
        </is>
      </c>
      <c r="D116" s="15" t="inlineStr">
        <is>
          <t>3</t>
        </is>
      </c>
      <c r="E116" s="16" t="n">
        <v>45819</v>
      </c>
      <c r="F116" s="17" t="n">
        <v>0.5</v>
      </c>
      <c r="G116" s="15" t="inlineStr"/>
      <c r="H116" s="15" t="b">
        <v>1</v>
      </c>
      <c r="I116" s="17" t="n">
        <v>990.92</v>
      </c>
      <c r="J116" s="15" t="n">
        <v>0</v>
      </c>
      <c r="K116" s="17" t="n">
        <v>0</v>
      </c>
      <c r="L116" s="17" t="n">
        <v>0</v>
      </c>
      <c r="M116" s="17" t="n">
        <v>0</v>
      </c>
      <c r="N116" s="17" t="n">
        <v>990.92</v>
      </c>
      <c r="O116" s="17" t="n">
        <v>91.06999999999999</v>
      </c>
      <c r="P116" s="17" t="n">
        <v>899.85</v>
      </c>
      <c r="Q116" s="17" t="n">
        <v>44.05</v>
      </c>
      <c r="R116" s="17" t="n">
        <v>13.5</v>
      </c>
      <c r="S116" s="17" t="n">
        <v>842.3</v>
      </c>
      <c r="T116" s="17" t="n">
        <v>85.64</v>
      </c>
      <c r="U116" s="18" t="n">
        <v>2.1667</v>
      </c>
      <c r="V116" s="18" t="n">
        <v>1</v>
      </c>
      <c r="W116" s="18" t="n">
        <v>7.1687</v>
      </c>
      <c r="X116" s="19">
        <f>ROUND(INDEX(CCNL!$F$5:$F$12,MATCH(D116,CCNL!$A$5:$A$12,0))*F116,2)</f>
        <v/>
      </c>
      <c r="Y116" s="4">
        <f>(YEAR(Parametri!$C$5)*12+MONTH(Parametri!$C$5))-(YEAR(E116)*12+MONTH(E116))</f>
        <v/>
      </c>
      <c r="Z116" s="4">
        <f>MIN(Parametri!$C$13,MAX(0,INT((Y116-1)/36)))</f>
        <v/>
      </c>
      <c r="AA116" s="19">
        <f>ROUND(INDEX(CCNL!$I$5:$I$12,MATCH(D116,CCNL!$A$5:$A$12,0))*Z116*F116,2)</f>
        <v/>
      </c>
      <c r="AB116" s="19">
        <f>ROUND(N116*Parametri!$C$6,2)</f>
        <v/>
      </c>
      <c r="AC116" s="19">
        <f>ROUND((I116+K116+L116)*Parametri!$C$8/Parametri!$C$7/12,2)</f>
        <v/>
      </c>
      <c r="AD116" s="20">
        <f>IFERROR(INDEX(Agosto!$D$5:$D$173,MATCH(A116,Agosto!$A$5:$A$173,0)),0)</f>
        <v/>
      </c>
      <c r="AE116" s="21">
        <f>ROUND(AD116+ROUND(Parametri!$C$9/12,4)-V116,4)</f>
        <v/>
      </c>
      <c r="AF116" s="19">
        <f>ROUND(I116+K116+L116+M116,2)</f>
        <v/>
      </c>
      <c r="AG116" s="19">
        <f>ROUND(N116-O116-Q116-R116,2)</f>
        <v/>
      </c>
      <c r="AH116" s="22">
        <f>IFERROR(INDEX(Agosto!$C$5:$C$173,MATCH(A116,Agosto!$A$5:$A$173,0)),"")</f>
        <v/>
      </c>
      <c r="AI116" s="23">
        <f>IF(AH116="","",S116/AH116-1)</f>
        <v/>
      </c>
      <c r="AJ116" s="4">
        <f>CHAR(65+MOD(SUMPRODUCT(SUMIF('Codice fiscale'!$A$5:$A$40,MID(C116,{1,3,5,7,9,11,13,15},1),'Codice fiscale'!$B$5:$B$40))+SUMPRODUCT(SUMIF('Codice fiscale'!$A$5:$A$40,MID(C116,{2,4,6,8,10,12,14},1),'Codice fiscale'!$C$5:$C$40)),26))</f>
        <v/>
      </c>
      <c r="AK116" s="4">
        <f>IF(ABS(I116-X116)&gt;Parametri!$C$11,"ERRORE","OK")</f>
        <v/>
      </c>
      <c r="AL116" s="4">
        <f>IF(ABS(K116-AA116)&gt;Parametri!$C$11,"ERRORE","OK")</f>
        <v/>
      </c>
      <c r="AM116" s="4">
        <f>IF(ABS(O116-AB116)&gt;Parametri!$C$11,"ERRORE","OK")</f>
        <v/>
      </c>
      <c r="AN116" s="4">
        <f>IF(ABS(T116-AC116)&gt;Parametri!$C$11,"ERRORE","OK")</f>
        <v/>
      </c>
      <c r="AO116" s="4">
        <f>IF(ABS(W116-AE116)&gt;Parametri!$C$12,"ERRORE","OK")</f>
        <v/>
      </c>
      <c r="AP116" s="4">
        <f>IF(OR(ABS(N116-AF116)&gt;Parametri!$C$11,ABS(S116-AG116)&gt;Parametri!$C$11),"ERRORE","OK")</f>
        <v/>
      </c>
      <c r="AQ116" s="4">
        <f>IF(AI116="","OK",IF(AND(ABS(AI116)&gt;Parametri!$C$10,G116=""),"ERRORE","OK"))</f>
        <v/>
      </c>
      <c r="AR116" s="4">
        <f>IF(AND(LEN(C116)=16,RIGHT(C116,1)=AJ116),"OK","ERRORE")</f>
        <v/>
      </c>
      <c r="AS116" s="12">
        <f>COUNTIF(AK116:AR116,"ERRORE")</f>
        <v/>
      </c>
    </row>
    <row r="117">
      <c r="A117" s="15" t="inlineStr">
        <is>
          <t>C113</t>
        </is>
      </c>
      <c r="B117" s="15" t="inlineStr">
        <is>
          <t>C</t>
        </is>
      </c>
      <c r="C117" s="15" t="inlineStr">
        <is>
          <t>DGCNSS95C27Z182T</t>
        </is>
      </c>
      <c r="D117" s="15" t="inlineStr">
        <is>
          <t>3</t>
        </is>
      </c>
      <c r="E117" s="16" t="n">
        <v>43753</v>
      </c>
      <c r="F117" s="17" t="n">
        <v>1</v>
      </c>
      <c r="G117" s="15" t="inlineStr"/>
      <c r="H117" s="15" t="b">
        <v>1</v>
      </c>
      <c r="I117" s="17" t="n">
        <v>1981.84</v>
      </c>
      <c r="J117" s="15" t="n">
        <v>2</v>
      </c>
      <c r="K117" s="17" t="n">
        <v>43.9</v>
      </c>
      <c r="L117" s="17" t="n">
        <v>0</v>
      </c>
      <c r="M117" s="17" t="n">
        <v>0</v>
      </c>
      <c r="N117" s="17" t="n">
        <v>2025.74</v>
      </c>
      <c r="O117" s="17" t="n">
        <v>186.17</v>
      </c>
      <c r="P117" s="17" t="n">
        <v>1839.57</v>
      </c>
      <c r="Q117" s="17" t="n">
        <v>283.77</v>
      </c>
      <c r="R117" s="17" t="n">
        <v>27.59</v>
      </c>
      <c r="S117" s="17" t="n">
        <v>1528.21</v>
      </c>
      <c r="T117" s="17" t="n">
        <v>175.06</v>
      </c>
      <c r="U117" s="18" t="n">
        <v>2.1667</v>
      </c>
      <c r="V117" s="18" t="n">
        <v>2</v>
      </c>
      <c r="W117" s="18" t="n">
        <v>15.6067</v>
      </c>
      <c r="X117" s="19">
        <f>ROUND(INDEX(CCNL!$F$5:$F$12,MATCH(D117,CCNL!$A$5:$A$12,0))*F117,2)</f>
        <v/>
      </c>
      <c r="Y117" s="4">
        <f>(YEAR(Parametri!$C$5)*12+MONTH(Parametri!$C$5))-(YEAR(E117)*12+MONTH(E117))</f>
        <v/>
      </c>
      <c r="Z117" s="4">
        <f>MIN(Parametri!$C$13,MAX(0,INT((Y117-1)/36)))</f>
        <v/>
      </c>
      <c r="AA117" s="19">
        <f>ROUND(INDEX(CCNL!$I$5:$I$12,MATCH(D117,CCNL!$A$5:$A$12,0))*Z117*F117,2)</f>
        <v/>
      </c>
      <c r="AB117" s="19">
        <f>ROUND(N117*Parametri!$C$6,2)</f>
        <v/>
      </c>
      <c r="AC117" s="19">
        <f>ROUND((I117+K117+L117)*Parametri!$C$8/Parametri!$C$7/12,2)</f>
        <v/>
      </c>
      <c r="AD117" s="20">
        <f>IFERROR(INDEX(Agosto!$D$5:$D$173,MATCH(A117,Agosto!$A$5:$A$173,0)),0)</f>
        <v/>
      </c>
      <c r="AE117" s="21">
        <f>ROUND(AD117+ROUND(Parametri!$C$9/12,4)-V117,4)</f>
        <v/>
      </c>
      <c r="AF117" s="19">
        <f>ROUND(I117+K117+L117+M117,2)</f>
        <v/>
      </c>
      <c r="AG117" s="19">
        <f>ROUND(N117-O117-Q117-R117,2)</f>
        <v/>
      </c>
      <c r="AH117" s="22">
        <f>IFERROR(INDEX(Agosto!$C$5:$C$173,MATCH(A117,Agosto!$A$5:$A$173,0)),"")</f>
        <v/>
      </c>
      <c r="AI117" s="23">
        <f>IF(AH117="","",S117/AH117-1)</f>
        <v/>
      </c>
      <c r="AJ117" s="4">
        <f>CHAR(65+MOD(SUMPRODUCT(SUMIF('Codice fiscale'!$A$5:$A$40,MID(C117,{1,3,5,7,9,11,13,15},1),'Codice fiscale'!$B$5:$B$40))+SUMPRODUCT(SUMIF('Codice fiscale'!$A$5:$A$40,MID(C117,{2,4,6,8,10,12,14},1),'Codice fiscale'!$C$5:$C$40)),26))</f>
        <v/>
      </c>
      <c r="AK117" s="4">
        <f>IF(ABS(I117-X117)&gt;Parametri!$C$11,"ERRORE","OK")</f>
        <v/>
      </c>
      <c r="AL117" s="4">
        <f>IF(ABS(K117-AA117)&gt;Parametri!$C$11,"ERRORE","OK")</f>
        <v/>
      </c>
      <c r="AM117" s="4">
        <f>IF(ABS(O117-AB117)&gt;Parametri!$C$11,"ERRORE","OK")</f>
        <v/>
      </c>
      <c r="AN117" s="4">
        <f>IF(ABS(T117-AC117)&gt;Parametri!$C$11,"ERRORE","OK")</f>
        <v/>
      </c>
      <c r="AO117" s="4">
        <f>IF(ABS(W117-AE117)&gt;Parametri!$C$12,"ERRORE","OK")</f>
        <v/>
      </c>
      <c r="AP117" s="4">
        <f>IF(OR(ABS(N117-AF117)&gt;Parametri!$C$11,ABS(S117-AG117)&gt;Parametri!$C$11),"ERRORE","OK")</f>
        <v/>
      </c>
      <c r="AQ117" s="4">
        <f>IF(AI117="","OK",IF(AND(ABS(AI117)&gt;Parametri!$C$10,G117=""),"ERRORE","OK"))</f>
        <v/>
      </c>
      <c r="AR117" s="4">
        <f>IF(AND(LEN(C117)=16,RIGHT(C117,1)=AJ117),"OK","ERRORE")</f>
        <v/>
      </c>
      <c r="AS117" s="12">
        <f>COUNTIF(AK117:AR117,"ERRORE")</f>
        <v/>
      </c>
    </row>
    <row r="118">
      <c r="A118" s="15" t="inlineStr">
        <is>
          <t>C114</t>
        </is>
      </c>
      <c r="B118" s="15" t="inlineStr">
        <is>
          <t>C</t>
        </is>
      </c>
      <c r="C118" s="15" t="inlineStr">
        <is>
          <t>BPTTDT88L66Z258Y</t>
        </is>
      </c>
      <c r="D118" s="15" t="inlineStr">
        <is>
          <t>3</t>
        </is>
      </c>
      <c r="E118" s="16" t="n">
        <v>40812</v>
      </c>
      <c r="F118" s="17" t="n">
        <v>1</v>
      </c>
      <c r="G118" s="15" t="inlineStr"/>
      <c r="H118" s="15" t="b">
        <v>1</v>
      </c>
      <c r="I118" s="17" t="n">
        <v>1981.84</v>
      </c>
      <c r="J118" s="15" t="n">
        <v>4</v>
      </c>
      <c r="K118" s="17" t="n">
        <v>87.8</v>
      </c>
      <c r="L118" s="17" t="n">
        <v>0</v>
      </c>
      <c r="M118" s="17" t="n">
        <v>0</v>
      </c>
      <c r="N118" s="17" t="n">
        <v>2069.64</v>
      </c>
      <c r="O118" s="17" t="n">
        <v>190.2</v>
      </c>
      <c r="P118" s="17" t="n">
        <v>1879.44</v>
      </c>
      <c r="Q118" s="17" t="n">
        <v>294.53</v>
      </c>
      <c r="R118" s="17" t="n">
        <v>28.19</v>
      </c>
      <c r="S118" s="17" t="n">
        <v>1556.72</v>
      </c>
      <c r="T118" s="17" t="n">
        <v>178.86</v>
      </c>
      <c r="U118" s="18" t="n">
        <v>2.1667</v>
      </c>
      <c r="V118" s="18" t="n">
        <v>0</v>
      </c>
      <c r="W118" s="18" t="n">
        <v>22.7115</v>
      </c>
      <c r="X118" s="19">
        <f>ROUND(INDEX(CCNL!$F$5:$F$12,MATCH(D118,CCNL!$A$5:$A$12,0))*F118,2)</f>
        <v/>
      </c>
      <c r="Y118" s="4">
        <f>(YEAR(Parametri!$C$5)*12+MONTH(Parametri!$C$5))-(YEAR(E118)*12+MONTH(E118))</f>
        <v/>
      </c>
      <c r="Z118" s="4">
        <f>MIN(Parametri!$C$13,MAX(0,INT((Y118-1)/36)))</f>
        <v/>
      </c>
      <c r="AA118" s="19">
        <f>ROUND(INDEX(CCNL!$I$5:$I$12,MATCH(D118,CCNL!$A$5:$A$12,0))*Z118*F118,2)</f>
        <v/>
      </c>
      <c r="AB118" s="19">
        <f>ROUND(N118*Parametri!$C$6,2)</f>
        <v/>
      </c>
      <c r="AC118" s="19">
        <f>ROUND((I118+K118+L118)*Parametri!$C$8/Parametri!$C$7/12,2)</f>
        <v/>
      </c>
      <c r="AD118" s="20">
        <f>IFERROR(INDEX(Agosto!$D$5:$D$173,MATCH(A118,Agosto!$A$5:$A$173,0)),0)</f>
        <v/>
      </c>
      <c r="AE118" s="21">
        <f>ROUND(AD118+ROUND(Parametri!$C$9/12,4)-V118,4)</f>
        <v/>
      </c>
      <c r="AF118" s="19">
        <f>ROUND(I118+K118+L118+M118,2)</f>
        <v/>
      </c>
      <c r="AG118" s="19">
        <f>ROUND(N118-O118-Q118-R118,2)</f>
        <v/>
      </c>
      <c r="AH118" s="22">
        <f>IFERROR(INDEX(Agosto!$C$5:$C$173,MATCH(A118,Agosto!$A$5:$A$173,0)),"")</f>
        <v/>
      </c>
      <c r="AI118" s="23">
        <f>IF(AH118="","",S118/AH118-1)</f>
        <v/>
      </c>
      <c r="AJ118" s="4">
        <f>CHAR(65+MOD(SUMPRODUCT(SUMIF('Codice fiscale'!$A$5:$A$40,MID(C118,{1,3,5,7,9,11,13,15},1),'Codice fiscale'!$B$5:$B$40))+SUMPRODUCT(SUMIF('Codice fiscale'!$A$5:$A$40,MID(C118,{2,4,6,8,10,12,14},1),'Codice fiscale'!$C$5:$C$40)),26))</f>
        <v/>
      </c>
      <c r="AK118" s="4">
        <f>IF(ABS(I118-X118)&gt;Parametri!$C$11,"ERRORE","OK")</f>
        <v/>
      </c>
      <c r="AL118" s="4">
        <f>IF(ABS(K118-AA118)&gt;Parametri!$C$11,"ERRORE","OK")</f>
        <v/>
      </c>
      <c r="AM118" s="4">
        <f>IF(ABS(O118-AB118)&gt;Parametri!$C$11,"ERRORE","OK")</f>
        <v/>
      </c>
      <c r="AN118" s="4">
        <f>IF(ABS(T118-AC118)&gt;Parametri!$C$11,"ERRORE","OK")</f>
        <v/>
      </c>
      <c r="AO118" s="4">
        <f>IF(ABS(W118-AE118)&gt;Parametri!$C$12,"ERRORE","OK")</f>
        <v/>
      </c>
      <c r="AP118" s="4">
        <f>IF(OR(ABS(N118-AF118)&gt;Parametri!$C$11,ABS(S118-AG118)&gt;Parametri!$C$11),"ERRORE","OK")</f>
        <v/>
      </c>
      <c r="AQ118" s="4">
        <f>IF(AI118="","OK",IF(AND(ABS(AI118)&gt;Parametri!$C$10,G118=""),"ERRORE","OK"))</f>
        <v/>
      </c>
      <c r="AR118" s="4">
        <f>IF(AND(LEN(C118)=16,RIGHT(C118,1)=AJ118),"OK","ERRORE")</f>
        <v/>
      </c>
      <c r="AS118" s="12">
        <f>COUNTIF(AK118:AR118,"ERRORE")</f>
        <v/>
      </c>
    </row>
    <row r="119">
      <c r="A119" s="15" t="inlineStr">
        <is>
          <t>C115</t>
        </is>
      </c>
      <c r="B119" s="15" t="inlineStr">
        <is>
          <t>C</t>
        </is>
      </c>
      <c r="C119" s="15" t="inlineStr">
        <is>
          <t>VSVRST80C53Z286T</t>
        </is>
      </c>
      <c r="D119" s="15" t="inlineStr">
        <is>
          <t>7</t>
        </is>
      </c>
      <c r="E119" s="16" t="n">
        <v>38238</v>
      </c>
      <c r="F119" s="17" t="n">
        <v>1</v>
      </c>
      <c r="G119" s="15" t="inlineStr"/>
      <c r="H119" s="15" t="b">
        <v>1</v>
      </c>
      <c r="I119" s="17" t="n">
        <v>1395.89</v>
      </c>
      <c r="J119" s="15" t="n">
        <v>7</v>
      </c>
      <c r="K119" s="17" t="n">
        <v>136.29</v>
      </c>
      <c r="L119" s="17" t="n">
        <v>0</v>
      </c>
      <c r="M119" s="17" t="n">
        <v>0</v>
      </c>
      <c r="N119" s="17" t="n">
        <v>1532.18</v>
      </c>
      <c r="O119" s="17" t="n">
        <v>140.81</v>
      </c>
      <c r="P119" s="17" t="n">
        <v>1391.37</v>
      </c>
      <c r="Q119" s="17" t="n">
        <v>162.75</v>
      </c>
      <c r="R119" s="17" t="n">
        <v>20.87</v>
      </c>
      <c r="S119" s="17" t="n">
        <v>1207.75</v>
      </c>
      <c r="T119" s="17" t="n">
        <v>132.41</v>
      </c>
      <c r="U119" s="18" t="n">
        <v>2.1667</v>
      </c>
      <c r="V119" s="18" t="n">
        <v>0</v>
      </c>
      <c r="W119" s="18" t="n">
        <v>12.2276</v>
      </c>
      <c r="X119" s="19">
        <f>ROUND(INDEX(CCNL!$F$5:$F$12,MATCH(D119,CCNL!$A$5:$A$12,0))*F119,2)</f>
        <v/>
      </c>
      <c r="Y119" s="4">
        <f>(YEAR(Parametri!$C$5)*12+MONTH(Parametri!$C$5))-(YEAR(E119)*12+MONTH(E119))</f>
        <v/>
      </c>
      <c r="Z119" s="4">
        <f>MIN(Parametri!$C$13,MAX(0,INT((Y119-1)/36)))</f>
        <v/>
      </c>
      <c r="AA119" s="19">
        <f>ROUND(INDEX(CCNL!$I$5:$I$12,MATCH(D119,CCNL!$A$5:$A$12,0))*Z119*F119,2)</f>
        <v/>
      </c>
      <c r="AB119" s="19">
        <f>ROUND(N119*Parametri!$C$6,2)</f>
        <v/>
      </c>
      <c r="AC119" s="19">
        <f>ROUND((I119+K119+L119)*Parametri!$C$8/Parametri!$C$7/12,2)</f>
        <v/>
      </c>
      <c r="AD119" s="20">
        <f>IFERROR(INDEX(Agosto!$D$5:$D$173,MATCH(A119,Agosto!$A$5:$A$173,0)),0)</f>
        <v/>
      </c>
      <c r="AE119" s="21">
        <f>ROUND(AD119+ROUND(Parametri!$C$9/12,4)-V119,4)</f>
        <v/>
      </c>
      <c r="AF119" s="19">
        <f>ROUND(I119+K119+L119+M119,2)</f>
        <v/>
      </c>
      <c r="AG119" s="19">
        <f>ROUND(N119-O119-Q119-R119,2)</f>
        <v/>
      </c>
      <c r="AH119" s="22">
        <f>IFERROR(INDEX(Agosto!$C$5:$C$173,MATCH(A119,Agosto!$A$5:$A$173,0)),"")</f>
        <v/>
      </c>
      <c r="AI119" s="23">
        <f>IF(AH119="","",S119/AH119-1)</f>
        <v/>
      </c>
      <c r="AJ119" s="4">
        <f>CHAR(65+MOD(SUMPRODUCT(SUMIF('Codice fiscale'!$A$5:$A$40,MID(C119,{1,3,5,7,9,11,13,15},1),'Codice fiscale'!$B$5:$B$40))+SUMPRODUCT(SUMIF('Codice fiscale'!$A$5:$A$40,MID(C119,{2,4,6,8,10,12,14},1),'Codice fiscale'!$C$5:$C$40)),26))</f>
        <v/>
      </c>
      <c r="AK119" s="4">
        <f>IF(ABS(I119-X119)&gt;Parametri!$C$11,"ERRORE","OK")</f>
        <v/>
      </c>
      <c r="AL119" s="4">
        <f>IF(ABS(K119-AA119)&gt;Parametri!$C$11,"ERRORE","OK")</f>
        <v/>
      </c>
      <c r="AM119" s="4">
        <f>IF(ABS(O119-AB119)&gt;Parametri!$C$11,"ERRORE","OK")</f>
        <v/>
      </c>
      <c r="AN119" s="4">
        <f>IF(ABS(T119-AC119)&gt;Parametri!$C$11,"ERRORE","OK")</f>
        <v/>
      </c>
      <c r="AO119" s="4">
        <f>IF(ABS(W119-AE119)&gt;Parametri!$C$12,"ERRORE","OK")</f>
        <v/>
      </c>
      <c r="AP119" s="4">
        <f>IF(OR(ABS(N119-AF119)&gt;Parametri!$C$11,ABS(S119-AG119)&gt;Parametri!$C$11),"ERRORE","OK")</f>
        <v/>
      </c>
      <c r="AQ119" s="4">
        <f>IF(AI119="","OK",IF(AND(ABS(AI119)&gt;Parametri!$C$10,G119=""),"ERRORE","OK"))</f>
        <v/>
      </c>
      <c r="AR119" s="4">
        <f>IF(AND(LEN(C119)=16,RIGHT(C119,1)=AJ119),"OK","ERRORE")</f>
        <v/>
      </c>
      <c r="AS119" s="12">
        <f>COUNTIF(AK119:AR119,"ERRORE")</f>
        <v/>
      </c>
    </row>
    <row r="120">
      <c r="A120" s="15" t="inlineStr">
        <is>
          <t>C116</t>
        </is>
      </c>
      <c r="B120" s="15" t="inlineStr">
        <is>
          <t>C</t>
        </is>
      </c>
      <c r="C120" s="15" t="inlineStr">
        <is>
          <t>PBZCFF03B58Z173K</t>
        </is>
      </c>
      <c r="D120" s="15" t="inlineStr">
        <is>
          <t>3</t>
        </is>
      </c>
      <c r="E120" s="16" t="n">
        <v>44044</v>
      </c>
      <c r="F120" s="17" t="n">
        <v>1</v>
      </c>
      <c r="G120" s="15" t="inlineStr"/>
      <c r="H120" s="15" t="b">
        <v>1</v>
      </c>
      <c r="I120" s="17" t="n">
        <v>1981.84</v>
      </c>
      <c r="J120" s="15" t="n">
        <v>2</v>
      </c>
      <c r="K120" s="17" t="n">
        <v>43.9</v>
      </c>
      <c r="L120" s="17" t="n">
        <v>200</v>
      </c>
      <c r="M120" s="17" t="n">
        <v>0</v>
      </c>
      <c r="N120" s="17" t="n">
        <v>2225.74</v>
      </c>
      <c r="O120" s="17" t="n">
        <v>204.55</v>
      </c>
      <c r="P120" s="17" t="n">
        <v>2021.19</v>
      </c>
      <c r="Q120" s="17" t="n">
        <v>332.8</v>
      </c>
      <c r="R120" s="17" t="n">
        <v>30.32</v>
      </c>
      <c r="S120" s="17" t="n">
        <v>1658.07</v>
      </c>
      <c r="T120" s="17" t="n">
        <v>192.35</v>
      </c>
      <c r="U120" s="18" t="n">
        <v>2.1667</v>
      </c>
      <c r="V120" s="18" t="n">
        <v>2</v>
      </c>
      <c r="W120" s="18" t="n">
        <v>19.5666</v>
      </c>
      <c r="X120" s="19">
        <f>ROUND(INDEX(CCNL!$F$5:$F$12,MATCH(D120,CCNL!$A$5:$A$12,0))*F120,2)</f>
        <v/>
      </c>
      <c r="Y120" s="4">
        <f>(YEAR(Parametri!$C$5)*12+MONTH(Parametri!$C$5))-(YEAR(E120)*12+MONTH(E120))</f>
        <v/>
      </c>
      <c r="Z120" s="4">
        <f>MIN(Parametri!$C$13,MAX(0,INT((Y120-1)/36)))</f>
        <v/>
      </c>
      <c r="AA120" s="19">
        <f>ROUND(INDEX(CCNL!$I$5:$I$12,MATCH(D120,CCNL!$A$5:$A$12,0))*Z120*F120,2)</f>
        <v/>
      </c>
      <c r="AB120" s="19">
        <f>ROUND(N120*Parametri!$C$6,2)</f>
        <v/>
      </c>
      <c r="AC120" s="19">
        <f>ROUND((I120+K120+L120)*Parametri!$C$8/Parametri!$C$7/12,2)</f>
        <v/>
      </c>
      <c r="AD120" s="20">
        <f>IFERROR(INDEX(Agosto!$D$5:$D$173,MATCH(A120,Agosto!$A$5:$A$173,0)),0)</f>
        <v/>
      </c>
      <c r="AE120" s="21">
        <f>ROUND(AD120+ROUND(Parametri!$C$9/12,4)-V120,4)</f>
        <v/>
      </c>
      <c r="AF120" s="19">
        <f>ROUND(I120+K120+L120+M120,2)</f>
        <v/>
      </c>
      <c r="AG120" s="19">
        <f>ROUND(N120-O120-Q120-R120,2)</f>
        <v/>
      </c>
      <c r="AH120" s="22">
        <f>IFERROR(INDEX(Agosto!$C$5:$C$173,MATCH(A120,Agosto!$A$5:$A$173,0)),"")</f>
        <v/>
      </c>
      <c r="AI120" s="23">
        <f>IF(AH120="","",S120/AH120-1)</f>
        <v/>
      </c>
      <c r="AJ120" s="4">
        <f>CHAR(65+MOD(SUMPRODUCT(SUMIF('Codice fiscale'!$A$5:$A$40,MID(C120,{1,3,5,7,9,11,13,15},1),'Codice fiscale'!$B$5:$B$40))+SUMPRODUCT(SUMIF('Codice fiscale'!$A$5:$A$40,MID(C120,{2,4,6,8,10,12,14},1),'Codice fiscale'!$C$5:$C$40)),26))</f>
        <v/>
      </c>
      <c r="AK120" s="4">
        <f>IF(ABS(I120-X120)&gt;Parametri!$C$11,"ERRORE","OK")</f>
        <v/>
      </c>
      <c r="AL120" s="4">
        <f>IF(ABS(K120-AA120)&gt;Parametri!$C$11,"ERRORE","OK")</f>
        <v/>
      </c>
      <c r="AM120" s="4">
        <f>IF(ABS(O120-AB120)&gt;Parametri!$C$11,"ERRORE","OK")</f>
        <v/>
      </c>
      <c r="AN120" s="4">
        <f>IF(ABS(T120-AC120)&gt;Parametri!$C$11,"ERRORE","OK")</f>
        <v/>
      </c>
      <c r="AO120" s="4">
        <f>IF(ABS(W120-AE120)&gt;Parametri!$C$12,"ERRORE","OK")</f>
        <v/>
      </c>
      <c r="AP120" s="4">
        <f>IF(OR(ABS(N120-AF120)&gt;Parametri!$C$11,ABS(S120-AG120)&gt;Parametri!$C$11),"ERRORE","OK")</f>
        <v/>
      </c>
      <c r="AQ120" s="4">
        <f>IF(AI120="","OK",IF(AND(ABS(AI120)&gt;Parametri!$C$10,G120=""),"ERRORE","OK"))</f>
        <v/>
      </c>
      <c r="AR120" s="4">
        <f>IF(AND(LEN(C120)=16,RIGHT(C120,1)=AJ120),"OK","ERRORE")</f>
        <v/>
      </c>
      <c r="AS120" s="12">
        <f>COUNTIF(AK120:AR120,"ERRORE")</f>
        <v/>
      </c>
    </row>
    <row r="121">
      <c r="A121" s="15" t="inlineStr">
        <is>
          <t>C117</t>
        </is>
      </c>
      <c r="B121" s="15" t="inlineStr">
        <is>
          <t>C</t>
        </is>
      </c>
      <c r="C121" s="15" t="inlineStr">
        <is>
          <t>NMTBSP99H64Z168E</t>
        </is>
      </c>
      <c r="D121" s="15" t="inlineStr">
        <is>
          <t>7</t>
        </is>
      </c>
      <c r="E121" s="16" t="n">
        <v>45633</v>
      </c>
      <c r="F121" s="17" t="n">
        <v>1</v>
      </c>
      <c r="G121" s="15" t="inlineStr"/>
      <c r="H121" s="15" t="b">
        <v>1</v>
      </c>
      <c r="I121" s="17" t="n">
        <v>1395.89</v>
      </c>
      <c r="J121" s="15" t="n">
        <v>0</v>
      </c>
      <c r="K121" s="17" t="n">
        <v>0</v>
      </c>
      <c r="L121" s="17" t="n">
        <v>0</v>
      </c>
      <c r="M121" s="17" t="n">
        <v>0</v>
      </c>
      <c r="N121" s="17" t="n">
        <v>1395.89</v>
      </c>
      <c r="O121" s="17" t="n">
        <v>128.28</v>
      </c>
      <c r="P121" s="17" t="n">
        <v>1267.61</v>
      </c>
      <c r="Q121" s="17" t="n">
        <v>129.34</v>
      </c>
      <c r="R121" s="17" t="n">
        <v>19.01</v>
      </c>
      <c r="S121" s="17" t="n">
        <v>1119.26</v>
      </c>
      <c r="T121" s="17" t="n">
        <v>120.63</v>
      </c>
      <c r="U121" s="18" t="n">
        <v>2.1667</v>
      </c>
      <c r="V121" s="18" t="n">
        <v>0</v>
      </c>
      <c r="W121" s="18" t="n">
        <v>25.8256</v>
      </c>
      <c r="X121" s="19">
        <f>ROUND(INDEX(CCNL!$F$5:$F$12,MATCH(D121,CCNL!$A$5:$A$12,0))*F121,2)</f>
        <v/>
      </c>
      <c r="Y121" s="4">
        <f>(YEAR(Parametri!$C$5)*12+MONTH(Parametri!$C$5))-(YEAR(E121)*12+MONTH(E121))</f>
        <v/>
      </c>
      <c r="Z121" s="4">
        <f>MIN(Parametri!$C$13,MAX(0,INT((Y121-1)/36)))</f>
        <v/>
      </c>
      <c r="AA121" s="19">
        <f>ROUND(INDEX(CCNL!$I$5:$I$12,MATCH(D121,CCNL!$A$5:$A$12,0))*Z121*F121,2)</f>
        <v/>
      </c>
      <c r="AB121" s="19">
        <f>ROUND(N121*Parametri!$C$6,2)</f>
        <v/>
      </c>
      <c r="AC121" s="19">
        <f>ROUND((I121+K121+L121)*Parametri!$C$8/Parametri!$C$7/12,2)</f>
        <v/>
      </c>
      <c r="AD121" s="20">
        <f>IFERROR(INDEX(Agosto!$D$5:$D$173,MATCH(A121,Agosto!$A$5:$A$173,0)),0)</f>
        <v/>
      </c>
      <c r="AE121" s="21">
        <f>ROUND(AD121+ROUND(Parametri!$C$9/12,4)-V121,4)</f>
        <v/>
      </c>
      <c r="AF121" s="19">
        <f>ROUND(I121+K121+L121+M121,2)</f>
        <v/>
      </c>
      <c r="AG121" s="19">
        <f>ROUND(N121-O121-Q121-R121,2)</f>
        <v/>
      </c>
      <c r="AH121" s="22">
        <f>IFERROR(INDEX(Agosto!$C$5:$C$173,MATCH(A121,Agosto!$A$5:$A$173,0)),"")</f>
        <v/>
      </c>
      <c r="AI121" s="23">
        <f>IF(AH121="","",S121/AH121-1)</f>
        <v/>
      </c>
      <c r="AJ121" s="4">
        <f>CHAR(65+MOD(SUMPRODUCT(SUMIF('Codice fiscale'!$A$5:$A$40,MID(C121,{1,3,5,7,9,11,13,15},1),'Codice fiscale'!$B$5:$B$40))+SUMPRODUCT(SUMIF('Codice fiscale'!$A$5:$A$40,MID(C121,{2,4,6,8,10,12,14},1),'Codice fiscale'!$C$5:$C$40)),26))</f>
        <v/>
      </c>
      <c r="AK121" s="4">
        <f>IF(ABS(I121-X121)&gt;Parametri!$C$11,"ERRORE","OK")</f>
        <v/>
      </c>
      <c r="AL121" s="4">
        <f>IF(ABS(K121-AA121)&gt;Parametri!$C$11,"ERRORE","OK")</f>
        <v/>
      </c>
      <c r="AM121" s="4">
        <f>IF(ABS(O121-AB121)&gt;Parametri!$C$11,"ERRORE","OK")</f>
        <v/>
      </c>
      <c r="AN121" s="4">
        <f>IF(ABS(T121-AC121)&gt;Parametri!$C$11,"ERRORE","OK")</f>
        <v/>
      </c>
      <c r="AO121" s="4">
        <f>IF(ABS(W121-AE121)&gt;Parametri!$C$12,"ERRORE","OK")</f>
        <v/>
      </c>
      <c r="AP121" s="4">
        <f>IF(OR(ABS(N121-AF121)&gt;Parametri!$C$11,ABS(S121-AG121)&gt;Parametri!$C$11),"ERRORE","OK")</f>
        <v/>
      </c>
      <c r="AQ121" s="4">
        <f>IF(AI121="","OK",IF(AND(ABS(AI121)&gt;Parametri!$C$10,G121=""),"ERRORE","OK"))</f>
        <v/>
      </c>
      <c r="AR121" s="4">
        <f>IF(AND(LEN(C121)=16,RIGHT(C121,1)=AJ121),"OK","ERRORE")</f>
        <v/>
      </c>
      <c r="AS121" s="12">
        <f>COUNTIF(AK121:AR121,"ERRORE")</f>
        <v/>
      </c>
    </row>
    <row r="122">
      <c r="A122" s="15" t="inlineStr">
        <is>
          <t>C118</t>
        </is>
      </c>
      <c r="B122" s="15" t="inlineStr">
        <is>
          <t>C</t>
        </is>
      </c>
      <c r="C122" s="15" t="inlineStr">
        <is>
          <t>NBBDDF87S04Z378L</t>
        </is>
      </c>
      <c r="D122" s="15" t="inlineStr">
        <is>
          <t>4</t>
        </is>
      </c>
      <c r="E122" s="16" t="n">
        <v>40581</v>
      </c>
      <c r="F122" s="17" t="n">
        <v>1</v>
      </c>
      <c r="G122" s="15" t="inlineStr"/>
      <c r="H122" s="15" t="b">
        <v>1</v>
      </c>
      <c r="I122" s="17" t="n">
        <v>1781.68</v>
      </c>
      <c r="J122" s="15" t="n">
        <v>5</v>
      </c>
      <c r="K122" s="17" t="n">
        <v>103.3</v>
      </c>
      <c r="L122" s="17" t="n">
        <v>0</v>
      </c>
      <c r="M122" s="17" t="n">
        <v>0</v>
      </c>
      <c r="N122" s="17" t="n">
        <v>1884.98</v>
      </c>
      <c r="O122" s="17" t="n">
        <v>173.23</v>
      </c>
      <c r="P122" s="17" t="n">
        <v>1711.75</v>
      </c>
      <c r="Q122" s="17" t="n">
        <v>249.26</v>
      </c>
      <c r="R122" s="17" t="n">
        <v>25.68</v>
      </c>
      <c r="S122" s="17" t="n">
        <v>1436.81</v>
      </c>
      <c r="T122" s="17" t="n">
        <v>162.9</v>
      </c>
      <c r="U122" s="18" t="n">
        <v>2.1667</v>
      </c>
      <c r="V122" s="18" t="n">
        <v>2</v>
      </c>
      <c r="W122" s="18" t="n">
        <v>9.234999999999999</v>
      </c>
      <c r="X122" s="19">
        <f>ROUND(INDEX(CCNL!$F$5:$F$12,MATCH(D122,CCNL!$A$5:$A$12,0))*F122,2)</f>
        <v/>
      </c>
      <c r="Y122" s="4">
        <f>(YEAR(Parametri!$C$5)*12+MONTH(Parametri!$C$5))-(YEAR(E122)*12+MONTH(E122))</f>
        <v/>
      </c>
      <c r="Z122" s="4">
        <f>MIN(Parametri!$C$13,MAX(0,INT((Y122-1)/36)))</f>
        <v/>
      </c>
      <c r="AA122" s="19">
        <f>ROUND(INDEX(CCNL!$I$5:$I$12,MATCH(D122,CCNL!$A$5:$A$12,0))*Z122*F122,2)</f>
        <v/>
      </c>
      <c r="AB122" s="19">
        <f>ROUND(N122*Parametri!$C$6,2)</f>
        <v/>
      </c>
      <c r="AC122" s="19">
        <f>ROUND((I122+K122+L122)*Parametri!$C$8/Parametri!$C$7/12,2)</f>
        <v/>
      </c>
      <c r="AD122" s="20">
        <f>IFERROR(INDEX(Agosto!$D$5:$D$173,MATCH(A122,Agosto!$A$5:$A$173,0)),0)</f>
        <v/>
      </c>
      <c r="AE122" s="21">
        <f>ROUND(AD122+ROUND(Parametri!$C$9/12,4)-V122,4)</f>
        <v/>
      </c>
      <c r="AF122" s="19">
        <f>ROUND(I122+K122+L122+M122,2)</f>
        <v/>
      </c>
      <c r="AG122" s="19">
        <f>ROUND(N122-O122-Q122-R122,2)</f>
        <v/>
      </c>
      <c r="AH122" s="22">
        <f>IFERROR(INDEX(Agosto!$C$5:$C$173,MATCH(A122,Agosto!$A$5:$A$173,0)),"")</f>
        <v/>
      </c>
      <c r="AI122" s="23">
        <f>IF(AH122="","",S122/AH122-1)</f>
        <v/>
      </c>
      <c r="AJ122" s="4">
        <f>CHAR(65+MOD(SUMPRODUCT(SUMIF('Codice fiscale'!$A$5:$A$40,MID(C122,{1,3,5,7,9,11,13,15},1),'Codice fiscale'!$B$5:$B$40))+SUMPRODUCT(SUMIF('Codice fiscale'!$A$5:$A$40,MID(C122,{2,4,6,8,10,12,14},1),'Codice fiscale'!$C$5:$C$40)),26))</f>
        <v/>
      </c>
      <c r="AK122" s="4">
        <f>IF(ABS(I122-X122)&gt;Parametri!$C$11,"ERRORE","OK")</f>
        <v/>
      </c>
      <c r="AL122" s="4">
        <f>IF(ABS(K122-AA122)&gt;Parametri!$C$11,"ERRORE","OK")</f>
        <v/>
      </c>
      <c r="AM122" s="4">
        <f>IF(ABS(O122-AB122)&gt;Parametri!$C$11,"ERRORE","OK")</f>
        <v/>
      </c>
      <c r="AN122" s="4">
        <f>IF(ABS(T122-AC122)&gt;Parametri!$C$11,"ERRORE","OK")</f>
        <v/>
      </c>
      <c r="AO122" s="4">
        <f>IF(ABS(W122-AE122)&gt;Parametri!$C$12,"ERRORE","OK")</f>
        <v/>
      </c>
      <c r="AP122" s="4">
        <f>IF(OR(ABS(N122-AF122)&gt;Parametri!$C$11,ABS(S122-AG122)&gt;Parametri!$C$11),"ERRORE","OK")</f>
        <v/>
      </c>
      <c r="AQ122" s="4">
        <f>IF(AI122="","OK",IF(AND(ABS(AI122)&gt;Parametri!$C$10,G122=""),"ERRORE","OK"))</f>
        <v/>
      </c>
      <c r="AR122" s="4">
        <f>IF(AND(LEN(C122)=16,RIGHT(C122,1)=AJ122),"OK","ERRORE")</f>
        <v/>
      </c>
      <c r="AS122" s="12">
        <f>COUNTIF(AK122:AR122,"ERRORE")</f>
        <v/>
      </c>
    </row>
    <row r="123">
      <c r="A123" s="15" t="inlineStr">
        <is>
          <t>C119</t>
        </is>
      </c>
      <c r="B123" s="15" t="inlineStr">
        <is>
          <t>C</t>
        </is>
      </c>
      <c r="C123" s="15" t="inlineStr">
        <is>
          <t>ZLZLBC99L20Z203O</t>
        </is>
      </c>
      <c r="D123" s="15" t="inlineStr">
        <is>
          <t>3</t>
        </is>
      </c>
      <c r="E123" s="16" t="n">
        <v>45025</v>
      </c>
      <c r="F123" s="17" t="n">
        <v>1</v>
      </c>
      <c r="G123" s="15" t="inlineStr"/>
      <c r="H123" s="15" t="b">
        <v>0</v>
      </c>
      <c r="I123" s="17" t="n">
        <v>1981.84</v>
      </c>
      <c r="J123" s="15" t="n">
        <v>1</v>
      </c>
      <c r="K123" s="17" t="n">
        <v>21.95</v>
      </c>
      <c r="L123" s="17" t="n">
        <v>150</v>
      </c>
      <c r="M123" s="17" t="n">
        <v>0</v>
      </c>
      <c r="N123" s="17" t="n">
        <v>2153.79</v>
      </c>
      <c r="O123" s="17" t="n">
        <v>197.93</v>
      </c>
      <c r="P123" s="17" t="n">
        <v>1955.86</v>
      </c>
      <c r="Q123" s="17" t="n">
        <v>315.17</v>
      </c>
      <c r="R123" s="17" t="n">
        <v>29.34</v>
      </c>
      <c r="S123" s="17" t="n">
        <v>1611.35</v>
      </c>
      <c r="T123" s="17" t="n">
        <v>186.13</v>
      </c>
      <c r="U123" s="18" t="n">
        <v>2.1667</v>
      </c>
      <c r="V123" s="18" t="n">
        <v>0</v>
      </c>
      <c r="W123" s="18" t="n">
        <v>31.1936</v>
      </c>
      <c r="X123" s="19">
        <f>ROUND(INDEX(CCNL!$F$5:$F$12,MATCH(D123,CCNL!$A$5:$A$12,0))*F123,2)</f>
        <v/>
      </c>
      <c r="Y123" s="4">
        <f>(YEAR(Parametri!$C$5)*12+MONTH(Parametri!$C$5))-(YEAR(E123)*12+MONTH(E123))</f>
        <v/>
      </c>
      <c r="Z123" s="4">
        <f>MIN(Parametri!$C$13,MAX(0,INT((Y123-1)/36)))</f>
        <v/>
      </c>
      <c r="AA123" s="19">
        <f>ROUND(INDEX(CCNL!$I$5:$I$12,MATCH(D123,CCNL!$A$5:$A$12,0))*Z123*F123,2)</f>
        <v/>
      </c>
      <c r="AB123" s="19">
        <f>ROUND(N123*Parametri!$C$6,2)</f>
        <v/>
      </c>
      <c r="AC123" s="19">
        <f>ROUND((I123+K123+L123)*Parametri!$C$8/Parametri!$C$7/12,2)</f>
        <v/>
      </c>
      <c r="AD123" s="20">
        <f>IFERROR(INDEX(Agosto!$D$5:$D$173,MATCH(A123,Agosto!$A$5:$A$173,0)),0)</f>
        <v/>
      </c>
      <c r="AE123" s="21">
        <f>ROUND(AD123+ROUND(Parametri!$C$9/12,4)-V123,4)</f>
        <v/>
      </c>
      <c r="AF123" s="19">
        <f>ROUND(I123+K123+L123+M123,2)</f>
        <v/>
      </c>
      <c r="AG123" s="19">
        <f>ROUND(N123-O123-Q123-R123,2)</f>
        <v/>
      </c>
      <c r="AH123" s="22">
        <f>IFERROR(INDEX(Agosto!$C$5:$C$173,MATCH(A123,Agosto!$A$5:$A$173,0)),"")</f>
        <v/>
      </c>
      <c r="AI123" s="23">
        <f>IF(AH123="","",S123/AH123-1)</f>
        <v/>
      </c>
      <c r="AJ123" s="4">
        <f>CHAR(65+MOD(SUMPRODUCT(SUMIF('Codice fiscale'!$A$5:$A$40,MID(C123,{1,3,5,7,9,11,13,15},1),'Codice fiscale'!$B$5:$B$40))+SUMPRODUCT(SUMIF('Codice fiscale'!$A$5:$A$40,MID(C123,{2,4,6,8,10,12,14},1),'Codice fiscale'!$C$5:$C$40)),26))</f>
        <v/>
      </c>
      <c r="AK123" s="4">
        <f>IF(ABS(I123-X123)&gt;Parametri!$C$11,"ERRORE","OK")</f>
        <v/>
      </c>
      <c r="AL123" s="4">
        <f>IF(ABS(K123-AA123)&gt;Parametri!$C$11,"ERRORE","OK")</f>
        <v/>
      </c>
      <c r="AM123" s="4">
        <f>IF(ABS(O123-AB123)&gt;Parametri!$C$11,"ERRORE","OK")</f>
        <v/>
      </c>
      <c r="AN123" s="4">
        <f>IF(ABS(T123-AC123)&gt;Parametri!$C$11,"ERRORE","OK")</f>
        <v/>
      </c>
      <c r="AO123" s="4">
        <f>IF(ABS(W123-AE123)&gt;Parametri!$C$12,"ERRORE","OK")</f>
        <v/>
      </c>
      <c r="AP123" s="4">
        <f>IF(OR(ABS(N123-AF123)&gt;Parametri!$C$11,ABS(S123-AG123)&gt;Parametri!$C$11),"ERRORE","OK")</f>
        <v/>
      </c>
      <c r="AQ123" s="4">
        <f>IF(AI123="","OK",IF(AND(ABS(AI123)&gt;Parametri!$C$10,G123=""),"ERRORE","OK"))</f>
        <v/>
      </c>
      <c r="AR123" s="4">
        <f>IF(AND(LEN(C123)=16,RIGHT(C123,1)=AJ123),"OK","ERRORE")</f>
        <v/>
      </c>
      <c r="AS123" s="12">
        <f>COUNTIF(AK123:AR123,"ERRORE")</f>
        <v/>
      </c>
    </row>
    <row r="124">
      <c r="A124" s="15" t="inlineStr">
        <is>
          <t>B200</t>
        </is>
      </c>
      <c r="B124" s="15" t="inlineStr">
        <is>
          <t>B</t>
        </is>
      </c>
      <c r="C124" s="15" t="inlineStr">
        <is>
          <t>RSZZLG01B11Z306E</t>
        </is>
      </c>
      <c r="D124" s="15" t="inlineStr">
        <is>
          <t>5</t>
        </is>
      </c>
      <c r="E124" s="16" t="n">
        <v>46266</v>
      </c>
      <c r="F124" s="17" t="n">
        <v>1</v>
      </c>
      <c r="G124" s="15" t="inlineStr">
        <is>
          <t>assunzione</t>
        </is>
      </c>
      <c r="H124" s="15" t="b">
        <v>1</v>
      </c>
      <c r="I124" s="17" t="n">
        <v>1658.01</v>
      </c>
      <c r="J124" s="15" t="n">
        <v>0</v>
      </c>
      <c r="K124" s="17" t="n">
        <v>0</v>
      </c>
      <c r="L124" s="17" t="n">
        <v>0</v>
      </c>
      <c r="M124" s="17" t="n">
        <v>0</v>
      </c>
      <c r="N124" s="17" t="n">
        <v>1658.01</v>
      </c>
      <c r="O124" s="17" t="n">
        <v>152.37</v>
      </c>
      <c r="P124" s="17" t="n">
        <v>1505.64</v>
      </c>
      <c r="Q124" s="17" t="n">
        <v>193.61</v>
      </c>
      <c r="R124" s="17" t="n">
        <v>22.58</v>
      </c>
      <c r="S124" s="17" t="n">
        <v>1289.45</v>
      </c>
      <c r="T124" s="17" t="n">
        <v>143.28</v>
      </c>
      <c r="U124" s="18" t="n">
        <v>2.1667</v>
      </c>
      <c r="V124" s="18" t="n">
        <v>0</v>
      </c>
      <c r="W124" s="18" t="n">
        <v>2.1667</v>
      </c>
      <c r="X124" s="19">
        <f>ROUND(INDEX(CCNL!$F$5:$F$12,MATCH(D124,CCNL!$A$5:$A$12,0))*F124,2)</f>
        <v/>
      </c>
      <c r="Y124" s="4">
        <f>(YEAR(Parametri!$C$5)*12+MONTH(Parametri!$C$5))-(YEAR(E124)*12+MONTH(E124))</f>
        <v/>
      </c>
      <c r="Z124" s="4">
        <f>MIN(Parametri!$C$13,MAX(0,INT((Y124-1)/36)))</f>
        <v/>
      </c>
      <c r="AA124" s="19">
        <f>ROUND(INDEX(CCNL!$I$5:$I$12,MATCH(D124,CCNL!$A$5:$A$12,0))*Z124*F124,2)</f>
        <v/>
      </c>
      <c r="AB124" s="19">
        <f>ROUND(N124*Parametri!$C$6,2)</f>
        <v/>
      </c>
      <c r="AC124" s="19">
        <f>ROUND((I124+K124+L124)*Parametri!$C$8/Parametri!$C$7/12,2)</f>
        <v/>
      </c>
      <c r="AD124" s="20">
        <f>IFERROR(INDEX(Agosto!$D$5:$D$173,MATCH(A124,Agosto!$A$5:$A$173,0)),0)</f>
        <v/>
      </c>
      <c r="AE124" s="21">
        <f>ROUND(AD124+ROUND(Parametri!$C$9/12,4)-V124,4)</f>
        <v/>
      </c>
      <c r="AF124" s="19">
        <f>ROUND(I124+K124+L124+M124,2)</f>
        <v/>
      </c>
      <c r="AG124" s="19">
        <f>ROUND(N124-O124-Q124-R124,2)</f>
        <v/>
      </c>
      <c r="AH124" s="22">
        <f>IFERROR(INDEX(Agosto!$C$5:$C$173,MATCH(A124,Agosto!$A$5:$A$173,0)),"")</f>
        <v/>
      </c>
      <c r="AI124" s="23">
        <f>IF(AH124="","",S124/AH124-1)</f>
        <v/>
      </c>
      <c r="AJ124" s="4">
        <f>CHAR(65+MOD(SUMPRODUCT(SUMIF('Codice fiscale'!$A$5:$A$40,MID(C124,{1,3,5,7,9,11,13,15},1),'Codice fiscale'!$B$5:$B$40))+SUMPRODUCT(SUMIF('Codice fiscale'!$A$5:$A$40,MID(C124,{2,4,6,8,10,12,14},1),'Codice fiscale'!$C$5:$C$40)),26))</f>
        <v/>
      </c>
      <c r="AK124" s="4">
        <f>IF(ABS(I124-X124)&gt;Parametri!$C$11,"ERRORE","OK")</f>
        <v/>
      </c>
      <c r="AL124" s="4">
        <f>IF(ABS(K124-AA124)&gt;Parametri!$C$11,"ERRORE","OK")</f>
        <v/>
      </c>
      <c r="AM124" s="4">
        <f>IF(ABS(O124-AB124)&gt;Parametri!$C$11,"ERRORE","OK")</f>
        <v/>
      </c>
      <c r="AN124" s="4">
        <f>IF(ABS(T124-AC124)&gt;Parametri!$C$11,"ERRORE","OK")</f>
        <v/>
      </c>
      <c r="AO124" s="4">
        <f>IF(ABS(W124-AE124)&gt;Parametri!$C$12,"ERRORE","OK")</f>
        <v/>
      </c>
      <c r="AP124" s="4">
        <f>IF(OR(ABS(N124-AF124)&gt;Parametri!$C$11,ABS(S124-AG124)&gt;Parametri!$C$11),"ERRORE","OK")</f>
        <v/>
      </c>
      <c r="AQ124" s="4">
        <f>IF(AI124="","OK",IF(AND(ABS(AI124)&gt;Parametri!$C$10,G124=""),"ERRORE","OK"))</f>
        <v/>
      </c>
      <c r="AR124" s="4">
        <f>IF(AND(LEN(C124)=16,RIGHT(C124,1)=AJ124),"OK","ERRORE")</f>
        <v/>
      </c>
      <c r="AS124" s="12">
        <f>COUNTIF(AK124:AR124,"ERRORE")</f>
        <v/>
      </c>
    </row>
    <row r="125">
      <c r="A125" s="15" t="inlineStr">
        <is>
          <t>B201</t>
        </is>
      </c>
      <c r="B125" s="15" t="inlineStr">
        <is>
          <t>B</t>
        </is>
      </c>
      <c r="C125" s="15" t="inlineStr">
        <is>
          <t>VCPBTN01C51Z279J</t>
        </is>
      </c>
      <c r="D125" s="15" t="inlineStr">
        <is>
          <t>5</t>
        </is>
      </c>
      <c r="E125" s="16" t="n">
        <v>46266</v>
      </c>
      <c r="F125" s="17" t="n">
        <v>1</v>
      </c>
      <c r="G125" s="15" t="inlineStr">
        <is>
          <t>assunzione</t>
        </is>
      </c>
      <c r="H125" s="15" t="b">
        <v>1</v>
      </c>
      <c r="I125" s="17" t="n">
        <v>1658.01</v>
      </c>
      <c r="J125" s="15" t="n">
        <v>0</v>
      </c>
      <c r="K125" s="17" t="n">
        <v>0</v>
      </c>
      <c r="L125" s="17" t="n">
        <v>0</v>
      </c>
      <c r="M125" s="17" t="n">
        <v>0</v>
      </c>
      <c r="N125" s="17" t="n">
        <v>1658.01</v>
      </c>
      <c r="O125" s="17" t="n">
        <v>152.37</v>
      </c>
      <c r="P125" s="17" t="n">
        <v>1505.64</v>
      </c>
      <c r="Q125" s="17" t="n">
        <v>193.61</v>
      </c>
      <c r="R125" s="17" t="n">
        <v>22.58</v>
      </c>
      <c r="S125" s="17" t="n">
        <v>1289.45</v>
      </c>
      <c r="T125" s="17" t="n">
        <v>143.28</v>
      </c>
      <c r="U125" s="18" t="n">
        <v>2.1667</v>
      </c>
      <c r="V125" s="18" t="n">
        <v>0</v>
      </c>
      <c r="W125" s="18" t="n">
        <v>2.1667</v>
      </c>
      <c r="X125" s="19">
        <f>ROUND(INDEX(CCNL!$F$5:$F$12,MATCH(D125,CCNL!$A$5:$A$12,0))*F125,2)</f>
        <v/>
      </c>
      <c r="Y125" s="4">
        <f>(YEAR(Parametri!$C$5)*12+MONTH(Parametri!$C$5))-(YEAR(E125)*12+MONTH(E125))</f>
        <v/>
      </c>
      <c r="Z125" s="4">
        <f>MIN(Parametri!$C$13,MAX(0,INT((Y125-1)/36)))</f>
        <v/>
      </c>
      <c r="AA125" s="19">
        <f>ROUND(INDEX(CCNL!$I$5:$I$12,MATCH(D125,CCNL!$A$5:$A$12,0))*Z125*F125,2)</f>
        <v/>
      </c>
      <c r="AB125" s="19">
        <f>ROUND(N125*Parametri!$C$6,2)</f>
        <v/>
      </c>
      <c r="AC125" s="19">
        <f>ROUND((I125+K125+L125)*Parametri!$C$8/Parametri!$C$7/12,2)</f>
        <v/>
      </c>
      <c r="AD125" s="20">
        <f>IFERROR(INDEX(Agosto!$D$5:$D$173,MATCH(A125,Agosto!$A$5:$A$173,0)),0)</f>
        <v/>
      </c>
      <c r="AE125" s="21">
        <f>ROUND(AD125+ROUND(Parametri!$C$9/12,4)-V125,4)</f>
        <v/>
      </c>
      <c r="AF125" s="19">
        <f>ROUND(I125+K125+L125+M125,2)</f>
        <v/>
      </c>
      <c r="AG125" s="19">
        <f>ROUND(N125-O125-Q125-R125,2)</f>
        <v/>
      </c>
      <c r="AH125" s="22">
        <f>IFERROR(INDEX(Agosto!$C$5:$C$173,MATCH(A125,Agosto!$A$5:$A$173,0)),"")</f>
        <v/>
      </c>
      <c r="AI125" s="23">
        <f>IF(AH125="","",S125/AH125-1)</f>
        <v/>
      </c>
      <c r="AJ125" s="4">
        <f>CHAR(65+MOD(SUMPRODUCT(SUMIF('Codice fiscale'!$A$5:$A$40,MID(C125,{1,3,5,7,9,11,13,15},1),'Codice fiscale'!$B$5:$B$40))+SUMPRODUCT(SUMIF('Codice fiscale'!$A$5:$A$40,MID(C125,{2,4,6,8,10,12,14},1),'Codice fiscale'!$C$5:$C$40)),26))</f>
        <v/>
      </c>
      <c r="AK125" s="4">
        <f>IF(ABS(I125-X125)&gt;Parametri!$C$11,"ERRORE","OK")</f>
        <v/>
      </c>
      <c r="AL125" s="4">
        <f>IF(ABS(K125-AA125)&gt;Parametri!$C$11,"ERRORE","OK")</f>
        <v/>
      </c>
      <c r="AM125" s="4">
        <f>IF(ABS(O125-AB125)&gt;Parametri!$C$11,"ERRORE","OK")</f>
        <v/>
      </c>
      <c r="AN125" s="4">
        <f>IF(ABS(T125-AC125)&gt;Parametri!$C$11,"ERRORE","OK")</f>
        <v/>
      </c>
      <c r="AO125" s="4">
        <f>IF(ABS(W125-AE125)&gt;Parametri!$C$12,"ERRORE","OK")</f>
        <v/>
      </c>
      <c r="AP125" s="4">
        <f>IF(OR(ABS(N125-AF125)&gt;Parametri!$C$11,ABS(S125-AG125)&gt;Parametri!$C$11),"ERRORE","OK")</f>
        <v/>
      </c>
      <c r="AQ125" s="4">
        <f>IF(AI125="","OK",IF(AND(ABS(AI125)&gt;Parametri!$C$10,G125=""),"ERRORE","OK"))</f>
        <v/>
      </c>
      <c r="AR125" s="4">
        <f>IF(AND(LEN(C125)=16,RIGHT(C125,1)=AJ125),"OK","ERRORE")</f>
        <v/>
      </c>
      <c r="AS125" s="12">
        <f>COUNTIF(AK125:AR125,"ERRORE")</f>
        <v/>
      </c>
    </row>
    <row r="126">
      <c r="A126" s="15" t="inlineStr">
        <is>
          <t>B202</t>
        </is>
      </c>
      <c r="B126" s="15" t="inlineStr">
        <is>
          <t>B</t>
        </is>
      </c>
      <c r="C126" s="15" t="inlineStr">
        <is>
          <t>MNPCND01D11Z243G</t>
        </is>
      </c>
      <c r="D126" s="15" t="inlineStr">
        <is>
          <t>5</t>
        </is>
      </c>
      <c r="E126" s="16" t="n">
        <v>46266</v>
      </c>
      <c r="F126" s="17" t="n">
        <v>1</v>
      </c>
      <c r="G126" s="15" t="inlineStr">
        <is>
          <t>assunzione</t>
        </is>
      </c>
      <c r="H126" s="15" t="b">
        <v>1</v>
      </c>
      <c r="I126" s="17" t="n">
        <v>1658.01</v>
      </c>
      <c r="J126" s="15" t="n">
        <v>0</v>
      </c>
      <c r="K126" s="17" t="n">
        <v>0</v>
      </c>
      <c r="L126" s="17" t="n">
        <v>0</v>
      </c>
      <c r="M126" s="17" t="n">
        <v>0</v>
      </c>
      <c r="N126" s="17" t="n">
        <v>1658.01</v>
      </c>
      <c r="O126" s="17" t="n">
        <v>152.37</v>
      </c>
      <c r="P126" s="17" t="n">
        <v>1505.64</v>
      </c>
      <c r="Q126" s="17" t="n">
        <v>193.61</v>
      </c>
      <c r="R126" s="17" t="n">
        <v>22.58</v>
      </c>
      <c r="S126" s="17" t="n">
        <v>1289.45</v>
      </c>
      <c r="T126" s="17" t="n">
        <v>143.28</v>
      </c>
      <c r="U126" s="18" t="n">
        <v>2.1667</v>
      </c>
      <c r="V126" s="18" t="n">
        <v>0</v>
      </c>
      <c r="W126" s="18" t="n">
        <v>2.1667</v>
      </c>
      <c r="X126" s="19">
        <f>ROUND(INDEX(CCNL!$F$5:$F$12,MATCH(D126,CCNL!$A$5:$A$12,0))*F126,2)</f>
        <v/>
      </c>
      <c r="Y126" s="4">
        <f>(YEAR(Parametri!$C$5)*12+MONTH(Parametri!$C$5))-(YEAR(E126)*12+MONTH(E126))</f>
        <v/>
      </c>
      <c r="Z126" s="4">
        <f>MIN(Parametri!$C$13,MAX(0,INT((Y126-1)/36)))</f>
        <v/>
      </c>
      <c r="AA126" s="19">
        <f>ROUND(INDEX(CCNL!$I$5:$I$12,MATCH(D126,CCNL!$A$5:$A$12,0))*Z126*F126,2)</f>
        <v/>
      </c>
      <c r="AB126" s="19">
        <f>ROUND(N126*Parametri!$C$6,2)</f>
        <v/>
      </c>
      <c r="AC126" s="19">
        <f>ROUND((I126+K126+L126)*Parametri!$C$8/Parametri!$C$7/12,2)</f>
        <v/>
      </c>
      <c r="AD126" s="20">
        <f>IFERROR(INDEX(Agosto!$D$5:$D$173,MATCH(A126,Agosto!$A$5:$A$173,0)),0)</f>
        <v/>
      </c>
      <c r="AE126" s="21">
        <f>ROUND(AD126+ROUND(Parametri!$C$9/12,4)-V126,4)</f>
        <v/>
      </c>
      <c r="AF126" s="19">
        <f>ROUND(I126+K126+L126+M126,2)</f>
        <v/>
      </c>
      <c r="AG126" s="19">
        <f>ROUND(N126-O126-Q126-R126,2)</f>
        <v/>
      </c>
      <c r="AH126" s="22">
        <f>IFERROR(INDEX(Agosto!$C$5:$C$173,MATCH(A126,Agosto!$A$5:$A$173,0)),"")</f>
        <v/>
      </c>
      <c r="AI126" s="23">
        <f>IF(AH126="","",S126/AH126-1)</f>
        <v/>
      </c>
      <c r="AJ126" s="4">
        <f>CHAR(65+MOD(SUMPRODUCT(SUMIF('Codice fiscale'!$A$5:$A$40,MID(C126,{1,3,5,7,9,11,13,15},1),'Codice fiscale'!$B$5:$B$40))+SUMPRODUCT(SUMIF('Codice fiscale'!$A$5:$A$40,MID(C126,{2,4,6,8,10,12,14},1),'Codice fiscale'!$C$5:$C$40)),26))</f>
        <v/>
      </c>
      <c r="AK126" s="4">
        <f>IF(ABS(I126-X126)&gt;Parametri!$C$11,"ERRORE","OK")</f>
        <v/>
      </c>
      <c r="AL126" s="4">
        <f>IF(ABS(K126-AA126)&gt;Parametri!$C$11,"ERRORE","OK")</f>
        <v/>
      </c>
      <c r="AM126" s="4">
        <f>IF(ABS(O126-AB126)&gt;Parametri!$C$11,"ERRORE","OK")</f>
        <v/>
      </c>
      <c r="AN126" s="4">
        <f>IF(ABS(T126-AC126)&gt;Parametri!$C$11,"ERRORE","OK")</f>
        <v/>
      </c>
      <c r="AO126" s="4">
        <f>IF(ABS(W126-AE126)&gt;Parametri!$C$12,"ERRORE","OK")</f>
        <v/>
      </c>
      <c r="AP126" s="4">
        <f>IF(OR(ABS(N126-AF126)&gt;Parametri!$C$11,ABS(S126-AG126)&gt;Parametri!$C$11),"ERRORE","OK")</f>
        <v/>
      </c>
      <c r="AQ126" s="4">
        <f>IF(AI126="","OK",IF(AND(ABS(AI126)&gt;Parametri!$C$10,G126=""),"ERRORE","OK"))</f>
        <v/>
      </c>
      <c r="AR126" s="4">
        <f>IF(AND(LEN(C126)=16,RIGHT(C126,1)=AJ126),"OK","ERRORE")</f>
        <v/>
      </c>
      <c r="AS126" s="12">
        <f>COUNTIF(AK126:AR126,"ERRORE")</f>
        <v/>
      </c>
    </row>
  </sheetData>
  <autoFilter ref="A4:AS126"/>
  <conditionalFormatting sqref="AK5:AR126">
    <cfRule type="cellIs" priority="1" operator="equal" dxfId="0">
      <formula>"ERRORE"</formula>
    </cfRule>
    <cfRule type="cellIs" priority="2" operator="equal" dxfId="1">
      <formula>"OK"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14" customWidth="1" min="4" max="4"/>
  </cols>
  <sheetData>
    <row r="1">
      <c r="A1" s="9" t="inlineStr">
        <is>
          <t>Agosto 2026: i cedolini del mese prima</t>
        </is>
      </c>
    </row>
    <row r="2">
      <c r="A2" s="10" t="inlineStr">
        <is>
          <t>Servono il netto e il residuo ferie, per i controlli C05 e C07.</t>
        </is>
      </c>
    </row>
    <row r="4" ht="20" customHeight="1">
      <c r="A4" s="11" t="inlineStr">
        <is>
          <t>Matricola</t>
        </is>
      </c>
      <c r="B4" s="11" t="inlineStr">
        <is>
          <t>Cliente</t>
        </is>
      </c>
      <c r="C4" s="11" t="inlineStr">
        <is>
          <t>Netto</t>
        </is>
      </c>
      <c r="D4" s="11" t="inlineStr">
        <is>
          <t>Residuo ferie</t>
        </is>
      </c>
    </row>
    <row r="5">
      <c r="A5" s="15" t="inlineStr">
        <is>
          <t>A001</t>
        </is>
      </c>
      <c r="B5" s="15" t="inlineStr">
        <is>
          <t>A</t>
        </is>
      </c>
      <c r="C5" s="17" t="n">
        <v>1310.02</v>
      </c>
      <c r="D5" s="18" t="n">
        <v>6.686</v>
      </c>
    </row>
    <row r="6">
      <c r="A6" s="15" t="inlineStr">
        <is>
          <t>A002</t>
        </is>
      </c>
      <c r="B6" s="15" t="inlineStr">
        <is>
          <t>A</t>
        </is>
      </c>
      <c r="C6" s="17" t="n">
        <v>1537.93</v>
      </c>
      <c r="D6" s="18" t="n">
        <v>2.8031</v>
      </c>
    </row>
    <row r="7">
      <c r="A7" s="15" t="inlineStr">
        <is>
          <t>A003</t>
        </is>
      </c>
      <c r="B7" s="15" t="inlineStr">
        <is>
          <t>A</t>
        </is>
      </c>
      <c r="C7" s="17" t="n">
        <v>1499.61</v>
      </c>
      <c r="D7" s="18" t="n">
        <v>31.82</v>
      </c>
    </row>
    <row r="8">
      <c r="A8" s="15" t="inlineStr">
        <is>
          <t>A004</t>
        </is>
      </c>
      <c r="B8" s="15" t="inlineStr">
        <is>
          <t>A</t>
        </is>
      </c>
      <c r="C8" s="17" t="n">
        <v>1577.94</v>
      </c>
      <c r="D8" s="18" t="n">
        <v>15.0127</v>
      </c>
    </row>
    <row r="9">
      <c r="A9" s="15" t="inlineStr">
        <is>
          <t>A005</t>
        </is>
      </c>
      <c r="B9" s="15" t="inlineStr">
        <is>
          <t>A</t>
        </is>
      </c>
      <c r="C9" s="17" t="n">
        <v>1205.95</v>
      </c>
      <c r="D9" s="18" t="n">
        <v>21.1311</v>
      </c>
    </row>
    <row r="10">
      <c r="A10" s="15" t="inlineStr">
        <is>
          <t>A006</t>
        </is>
      </c>
      <c r="B10" s="15" t="inlineStr">
        <is>
          <t>A</t>
        </is>
      </c>
      <c r="C10" s="17" t="n">
        <v>834.14</v>
      </c>
      <c r="D10" s="18" t="n">
        <v>30.6945</v>
      </c>
    </row>
    <row r="11">
      <c r="A11" s="15" t="inlineStr">
        <is>
          <t>A007</t>
        </is>
      </c>
      <c r="B11" s="15" t="inlineStr">
        <is>
          <t>A</t>
        </is>
      </c>
      <c r="C11" s="17" t="n">
        <v>1970.3</v>
      </c>
      <c r="D11" s="18" t="n">
        <v>17.3519</v>
      </c>
    </row>
    <row r="12">
      <c r="A12" s="15" t="inlineStr">
        <is>
          <t>A008</t>
        </is>
      </c>
      <c r="B12" s="15" t="inlineStr">
        <is>
          <t>A</t>
        </is>
      </c>
      <c r="C12" s="17" t="n">
        <v>1513.96</v>
      </c>
      <c r="D12" s="18" t="n">
        <v>11.1243</v>
      </c>
    </row>
    <row r="13">
      <c r="A13" s="15" t="inlineStr">
        <is>
          <t>A009</t>
        </is>
      </c>
      <c r="B13" s="15" t="inlineStr">
        <is>
          <t>A</t>
        </is>
      </c>
      <c r="C13" s="17" t="n">
        <v>1309.15</v>
      </c>
      <c r="D13" s="18" t="n">
        <v>20.7886</v>
      </c>
    </row>
    <row r="14">
      <c r="A14" s="15" t="inlineStr">
        <is>
          <t>A010</t>
        </is>
      </c>
      <c r="B14" s="15" t="inlineStr">
        <is>
          <t>A</t>
        </is>
      </c>
      <c r="C14" s="17" t="n">
        <v>1179.86</v>
      </c>
      <c r="D14" s="18" t="n">
        <v>14.0704</v>
      </c>
    </row>
    <row r="15">
      <c r="A15" s="15" t="inlineStr">
        <is>
          <t>A011</t>
        </is>
      </c>
      <c r="B15" s="15" t="inlineStr">
        <is>
          <t>A</t>
        </is>
      </c>
      <c r="C15" s="17" t="n">
        <v>1604.78</v>
      </c>
      <c r="D15" s="18" t="n">
        <v>25.8977</v>
      </c>
    </row>
    <row r="16">
      <c r="A16" s="15" t="inlineStr">
        <is>
          <t>A012</t>
        </is>
      </c>
      <c r="B16" s="15" t="inlineStr">
        <is>
          <t>A</t>
        </is>
      </c>
      <c r="C16" s="17" t="n">
        <v>1195.1</v>
      </c>
      <c r="D16" s="18" t="n">
        <v>21.911</v>
      </c>
    </row>
    <row r="17">
      <c r="A17" s="15" t="inlineStr">
        <is>
          <t>A013</t>
        </is>
      </c>
      <c r="B17" s="15" t="inlineStr">
        <is>
          <t>A</t>
        </is>
      </c>
      <c r="C17" s="17" t="n">
        <v>1150.97</v>
      </c>
      <c r="D17" s="18" t="n">
        <v>9.379899999999999</v>
      </c>
    </row>
    <row r="18">
      <c r="A18" s="15" t="inlineStr">
        <is>
          <t>A014</t>
        </is>
      </c>
      <c r="B18" s="15" t="inlineStr">
        <is>
          <t>A</t>
        </is>
      </c>
      <c r="C18" s="17" t="n">
        <v>1522.71</v>
      </c>
      <c r="D18" s="18" t="n">
        <v>13.7701</v>
      </c>
    </row>
    <row r="19">
      <c r="A19" s="15" t="inlineStr">
        <is>
          <t>A015</t>
        </is>
      </c>
      <c r="B19" s="15" t="inlineStr">
        <is>
          <t>A</t>
        </is>
      </c>
      <c r="C19" s="17" t="n">
        <v>1304.5</v>
      </c>
      <c r="D19" s="18" t="n">
        <v>27.4397</v>
      </c>
    </row>
    <row r="20">
      <c r="A20" s="15" t="inlineStr">
        <is>
          <t>A016</t>
        </is>
      </c>
      <c r="B20" s="15" t="inlineStr">
        <is>
          <t>A</t>
        </is>
      </c>
      <c r="C20" s="17" t="n">
        <v>1526.43</v>
      </c>
      <c r="D20" s="18" t="n">
        <v>15.9158</v>
      </c>
    </row>
    <row r="21">
      <c r="A21" s="15" t="inlineStr">
        <is>
          <t>A017</t>
        </is>
      </c>
      <c r="B21" s="15" t="inlineStr">
        <is>
          <t>A</t>
        </is>
      </c>
      <c r="C21" s="17" t="n">
        <v>1079.08</v>
      </c>
      <c r="D21" s="18" t="n">
        <v>25.4459</v>
      </c>
    </row>
    <row r="22">
      <c r="A22" s="15" t="inlineStr">
        <is>
          <t>A018</t>
        </is>
      </c>
      <c r="B22" s="15" t="inlineStr">
        <is>
          <t>A</t>
        </is>
      </c>
      <c r="C22" s="17" t="n">
        <v>1551.65</v>
      </c>
      <c r="D22" s="18" t="n">
        <v>12.3163</v>
      </c>
    </row>
    <row r="23">
      <c r="A23" s="15" t="inlineStr">
        <is>
          <t>B019</t>
        </is>
      </c>
      <c r="B23" s="15" t="inlineStr">
        <is>
          <t>B</t>
        </is>
      </c>
      <c r="C23" s="17" t="n">
        <v>1752.11</v>
      </c>
      <c r="D23" s="18" t="n">
        <v>20.113</v>
      </c>
    </row>
    <row r="24">
      <c r="A24" s="15" t="inlineStr">
        <is>
          <t>B020</t>
        </is>
      </c>
      <c r="B24" s="15" t="inlineStr">
        <is>
          <t>B</t>
        </is>
      </c>
      <c r="C24" s="17" t="n">
        <v>1969.58</v>
      </c>
      <c r="D24" s="18" t="n">
        <v>7.9673</v>
      </c>
    </row>
    <row r="25">
      <c r="A25" s="15" t="inlineStr">
        <is>
          <t>B021</t>
        </is>
      </c>
      <c r="B25" s="15" t="inlineStr">
        <is>
          <t>B</t>
        </is>
      </c>
      <c r="C25" s="17" t="n">
        <v>1480.56</v>
      </c>
      <c r="D25" s="18" t="n">
        <v>22.9062</v>
      </c>
    </row>
    <row r="26">
      <c r="A26" s="15" t="inlineStr">
        <is>
          <t>B022</t>
        </is>
      </c>
      <c r="B26" s="15" t="inlineStr">
        <is>
          <t>B</t>
        </is>
      </c>
      <c r="C26" s="17" t="n">
        <v>1499.7</v>
      </c>
      <c r="D26" s="18" t="n">
        <v>17.0036</v>
      </c>
    </row>
    <row r="27">
      <c r="A27" s="15" t="inlineStr">
        <is>
          <t>B023</t>
        </is>
      </c>
      <c r="B27" s="15" t="inlineStr">
        <is>
          <t>B</t>
        </is>
      </c>
      <c r="C27" s="17" t="n">
        <v>1830.03</v>
      </c>
      <c r="D27" s="18" t="n">
        <v>20.5321</v>
      </c>
    </row>
    <row r="28">
      <c r="A28" s="15" t="inlineStr">
        <is>
          <t>B024</t>
        </is>
      </c>
      <c r="B28" s="15" t="inlineStr">
        <is>
          <t>B</t>
        </is>
      </c>
      <c r="C28" s="17" t="n">
        <v>1315.81</v>
      </c>
      <c r="D28" s="18" t="n">
        <v>13.5197</v>
      </c>
    </row>
    <row r="29">
      <c r="A29" s="15" t="inlineStr">
        <is>
          <t>B025</t>
        </is>
      </c>
      <c r="B29" s="15" t="inlineStr">
        <is>
          <t>B</t>
        </is>
      </c>
      <c r="C29" s="17" t="n">
        <v>1131.9</v>
      </c>
      <c r="D29" s="18" t="n">
        <v>16.3948</v>
      </c>
    </row>
    <row r="30">
      <c r="A30" s="15" t="inlineStr">
        <is>
          <t>B026</t>
        </is>
      </c>
      <c r="B30" s="15" t="inlineStr">
        <is>
          <t>B</t>
        </is>
      </c>
      <c r="C30" s="17" t="n">
        <v>1914.26</v>
      </c>
      <c r="D30" s="18" t="n">
        <v>17.7804</v>
      </c>
    </row>
    <row r="31">
      <c r="A31" s="15" t="inlineStr">
        <is>
          <t>B027</t>
        </is>
      </c>
      <c r="B31" s="15" t="inlineStr">
        <is>
          <t>B</t>
        </is>
      </c>
      <c r="C31" s="17" t="n">
        <v>1279.2</v>
      </c>
      <c r="D31" s="18" t="n">
        <v>29.1882</v>
      </c>
    </row>
    <row r="32">
      <c r="A32" s="15" t="inlineStr">
        <is>
          <t>B028</t>
        </is>
      </c>
      <c r="B32" s="15" t="inlineStr">
        <is>
          <t>B</t>
        </is>
      </c>
      <c r="C32" s="17" t="n">
        <v>1474.49</v>
      </c>
      <c r="D32" s="18" t="n">
        <v>15.2215</v>
      </c>
    </row>
    <row r="33">
      <c r="A33" s="15" t="inlineStr">
        <is>
          <t>B029</t>
        </is>
      </c>
      <c r="B33" s="15" t="inlineStr">
        <is>
          <t>B</t>
        </is>
      </c>
      <c r="C33" s="17" t="n">
        <v>759.13</v>
      </c>
      <c r="D33" s="18" t="n">
        <v>8.758699999999999</v>
      </c>
    </row>
    <row r="34">
      <c r="A34" s="15" t="inlineStr">
        <is>
          <t>B030</t>
        </is>
      </c>
      <c r="B34" s="15" t="inlineStr">
        <is>
          <t>B</t>
        </is>
      </c>
      <c r="C34" s="17" t="n">
        <v>1119.26</v>
      </c>
      <c r="D34" s="18" t="n">
        <v>11.3863</v>
      </c>
    </row>
    <row r="35">
      <c r="A35" s="15" t="inlineStr">
        <is>
          <t>B031</t>
        </is>
      </c>
      <c r="B35" s="15" t="inlineStr">
        <is>
          <t>B</t>
        </is>
      </c>
      <c r="C35" s="17" t="n">
        <v>819.16</v>
      </c>
      <c r="D35" s="18" t="n">
        <v>2.7543</v>
      </c>
    </row>
    <row r="36">
      <c r="A36" s="15" t="inlineStr">
        <is>
          <t>B032</t>
        </is>
      </c>
      <c r="B36" s="15" t="inlineStr">
        <is>
          <t>B</t>
        </is>
      </c>
      <c r="C36" s="17" t="n">
        <v>1383.16</v>
      </c>
      <c r="D36" s="18" t="n">
        <v>21.2095</v>
      </c>
    </row>
    <row r="37">
      <c r="A37" s="15" t="inlineStr">
        <is>
          <t>B033</t>
        </is>
      </c>
      <c r="B37" s="15" t="inlineStr">
        <is>
          <t>B</t>
        </is>
      </c>
      <c r="C37" s="17" t="n">
        <v>1677.39</v>
      </c>
      <c r="D37" s="18" t="n">
        <v>10.2963</v>
      </c>
    </row>
    <row r="38">
      <c r="A38" s="15" t="inlineStr">
        <is>
          <t>B034</t>
        </is>
      </c>
      <c r="B38" s="15" t="inlineStr">
        <is>
          <t>B</t>
        </is>
      </c>
      <c r="C38" s="17" t="n">
        <v>1177.93</v>
      </c>
      <c r="D38" s="18" t="n">
        <v>11.2602</v>
      </c>
    </row>
    <row r="39">
      <c r="A39" s="15" t="inlineStr">
        <is>
          <t>B035</t>
        </is>
      </c>
      <c r="B39" s="15" t="inlineStr">
        <is>
          <t>B</t>
        </is>
      </c>
      <c r="C39" s="17" t="n">
        <v>849.33</v>
      </c>
      <c r="D39" s="18" t="n">
        <v>24.4417</v>
      </c>
    </row>
    <row r="40">
      <c r="A40" s="15" t="inlineStr">
        <is>
          <t>B036</t>
        </is>
      </c>
      <c r="B40" s="15" t="inlineStr">
        <is>
          <t>B</t>
        </is>
      </c>
      <c r="C40" s="17" t="n">
        <v>1188.7</v>
      </c>
      <c r="D40" s="18" t="n">
        <v>16.8552</v>
      </c>
    </row>
    <row r="41">
      <c r="A41" s="15" t="inlineStr">
        <is>
          <t>B037</t>
        </is>
      </c>
      <c r="B41" s="15" t="inlineStr">
        <is>
          <t>B</t>
        </is>
      </c>
      <c r="C41" s="17" t="n">
        <v>1169.83</v>
      </c>
      <c r="D41" s="18" t="n">
        <v>7.8266</v>
      </c>
    </row>
    <row r="42">
      <c r="A42" s="15" t="inlineStr">
        <is>
          <t>B038</t>
        </is>
      </c>
      <c r="B42" s="15" t="inlineStr">
        <is>
          <t>B</t>
        </is>
      </c>
      <c r="C42" s="17" t="n">
        <v>1236.69</v>
      </c>
      <c r="D42" s="18" t="n">
        <v>2.1671</v>
      </c>
    </row>
    <row r="43">
      <c r="A43" s="15" t="inlineStr">
        <is>
          <t>B039</t>
        </is>
      </c>
      <c r="B43" s="15" t="inlineStr">
        <is>
          <t>B</t>
        </is>
      </c>
      <c r="C43" s="17" t="n">
        <v>1566.68</v>
      </c>
      <c r="D43" s="18" t="n">
        <v>22.53</v>
      </c>
    </row>
    <row r="44">
      <c r="A44" s="15" t="inlineStr">
        <is>
          <t>B040</t>
        </is>
      </c>
      <c r="B44" s="15" t="inlineStr">
        <is>
          <t>B</t>
        </is>
      </c>
      <c r="C44" s="17" t="n">
        <v>1461.07</v>
      </c>
      <c r="D44" s="18" t="n">
        <v>12.7885</v>
      </c>
    </row>
    <row r="45">
      <c r="A45" s="15" t="inlineStr">
        <is>
          <t>B041</t>
        </is>
      </c>
      <c r="B45" s="15" t="inlineStr">
        <is>
          <t>B</t>
        </is>
      </c>
      <c r="C45" s="17" t="n">
        <v>1937.71</v>
      </c>
      <c r="D45" s="18" t="n">
        <v>9.230600000000001</v>
      </c>
    </row>
    <row r="46">
      <c r="A46" s="15" t="inlineStr">
        <is>
          <t>B042</t>
        </is>
      </c>
      <c r="B46" s="15" t="inlineStr">
        <is>
          <t>B</t>
        </is>
      </c>
      <c r="C46" s="17" t="n">
        <v>1393.73</v>
      </c>
      <c r="D46" s="18" t="n">
        <v>19.0842</v>
      </c>
    </row>
    <row r="47">
      <c r="A47" s="15" t="inlineStr">
        <is>
          <t>B043</t>
        </is>
      </c>
      <c r="B47" s="15" t="inlineStr">
        <is>
          <t>B</t>
        </is>
      </c>
      <c r="C47" s="17" t="n">
        <v>1367.75</v>
      </c>
      <c r="D47" s="18" t="n">
        <v>19.9635</v>
      </c>
    </row>
    <row r="48">
      <c r="A48" s="15" t="inlineStr">
        <is>
          <t>B044</t>
        </is>
      </c>
      <c r="B48" s="15" t="inlineStr">
        <is>
          <t>B</t>
        </is>
      </c>
      <c r="C48" s="17" t="n">
        <v>1899.47</v>
      </c>
      <c r="D48" s="18" t="n">
        <v>4.6458</v>
      </c>
    </row>
    <row r="49">
      <c r="A49" s="15" t="inlineStr">
        <is>
          <t>B045</t>
        </is>
      </c>
      <c r="B49" s="15" t="inlineStr">
        <is>
          <t>B</t>
        </is>
      </c>
      <c r="C49" s="17" t="n">
        <v>704.26</v>
      </c>
      <c r="D49" s="18" t="n">
        <v>13.5616</v>
      </c>
    </row>
    <row r="50">
      <c r="A50" s="15" t="inlineStr">
        <is>
          <t>B046</t>
        </is>
      </c>
      <c r="B50" s="15" t="inlineStr">
        <is>
          <t>B</t>
        </is>
      </c>
      <c r="C50" s="17" t="n">
        <v>1399.69</v>
      </c>
      <c r="D50" s="18" t="n">
        <v>21.1684</v>
      </c>
    </row>
    <row r="51">
      <c r="A51" s="15" t="inlineStr">
        <is>
          <t>B047</t>
        </is>
      </c>
      <c r="B51" s="15" t="inlineStr">
        <is>
          <t>B</t>
        </is>
      </c>
      <c r="C51" s="17" t="n">
        <v>1889.4</v>
      </c>
      <c r="D51" s="18" t="n">
        <v>5.2692</v>
      </c>
    </row>
    <row r="52">
      <c r="A52" s="15" t="inlineStr">
        <is>
          <t>B048</t>
        </is>
      </c>
      <c r="B52" s="15" t="inlineStr">
        <is>
          <t>B</t>
        </is>
      </c>
      <c r="C52" s="17" t="n">
        <v>823.27</v>
      </c>
      <c r="D52" s="18" t="n">
        <v>21.1473</v>
      </c>
    </row>
    <row r="53">
      <c r="A53" s="15" t="inlineStr">
        <is>
          <t>B049</t>
        </is>
      </c>
      <c r="B53" s="15" t="inlineStr">
        <is>
          <t>B</t>
        </is>
      </c>
      <c r="C53" s="17" t="n">
        <v>2009.9</v>
      </c>
      <c r="D53" s="18" t="n">
        <v>11.5295</v>
      </c>
    </row>
    <row r="54">
      <c r="A54" s="15" t="inlineStr">
        <is>
          <t>B050</t>
        </is>
      </c>
      <c r="B54" s="15" t="inlineStr">
        <is>
          <t>B</t>
        </is>
      </c>
      <c r="C54" s="17" t="n">
        <v>1289.45</v>
      </c>
      <c r="D54" s="18" t="n">
        <v>2.2129</v>
      </c>
    </row>
    <row r="55">
      <c r="A55" s="15" t="inlineStr">
        <is>
          <t>B051</t>
        </is>
      </c>
      <c r="B55" s="15" t="inlineStr">
        <is>
          <t>B</t>
        </is>
      </c>
      <c r="C55" s="17" t="n">
        <v>1274.4</v>
      </c>
      <c r="D55" s="18" t="n">
        <v>12.3157</v>
      </c>
    </row>
    <row r="56">
      <c r="A56" s="15" t="inlineStr">
        <is>
          <t>B052</t>
        </is>
      </c>
      <c r="B56" s="15" t="inlineStr">
        <is>
          <t>B</t>
        </is>
      </c>
      <c r="C56" s="17" t="n">
        <v>1413.2</v>
      </c>
      <c r="D56" s="18" t="n">
        <v>16.9202</v>
      </c>
    </row>
    <row r="57">
      <c r="A57" s="15" t="inlineStr">
        <is>
          <t>B053</t>
        </is>
      </c>
      <c r="B57" s="15" t="inlineStr">
        <is>
          <t>B</t>
        </is>
      </c>
      <c r="C57" s="17" t="n">
        <v>773.6900000000001</v>
      </c>
      <c r="D57" s="18" t="n">
        <v>9.6197</v>
      </c>
    </row>
    <row r="58">
      <c r="A58" s="15" t="inlineStr">
        <is>
          <t>B054</t>
        </is>
      </c>
      <c r="B58" s="15" t="inlineStr">
        <is>
          <t>B</t>
        </is>
      </c>
      <c r="C58" s="17" t="n">
        <v>1577.94</v>
      </c>
      <c r="D58" s="18" t="n">
        <v>11.5435</v>
      </c>
    </row>
    <row r="59">
      <c r="A59" s="15" t="inlineStr">
        <is>
          <t>B055</t>
        </is>
      </c>
      <c r="B59" s="15" t="inlineStr">
        <is>
          <t>B</t>
        </is>
      </c>
      <c r="C59" s="17" t="n">
        <v>1458.85</v>
      </c>
      <c r="D59" s="18" t="n">
        <v>12.2349</v>
      </c>
    </row>
    <row r="60">
      <c r="A60" s="15" t="inlineStr">
        <is>
          <t>B056</t>
        </is>
      </c>
      <c r="B60" s="15" t="inlineStr">
        <is>
          <t>B</t>
        </is>
      </c>
      <c r="C60" s="17" t="n">
        <v>1484.24</v>
      </c>
      <c r="D60" s="18" t="n">
        <v>15.7586</v>
      </c>
    </row>
    <row r="61">
      <c r="A61" s="15" t="inlineStr">
        <is>
          <t>B057</t>
        </is>
      </c>
      <c r="B61" s="15" t="inlineStr">
        <is>
          <t>B</t>
        </is>
      </c>
      <c r="C61" s="17" t="n">
        <v>1225.44</v>
      </c>
      <c r="D61" s="18" t="n">
        <v>13.178</v>
      </c>
    </row>
    <row r="62">
      <c r="A62" s="15" t="inlineStr">
        <is>
          <t>B058</t>
        </is>
      </c>
      <c r="B62" s="15" t="inlineStr">
        <is>
          <t>B</t>
        </is>
      </c>
      <c r="C62" s="17" t="n">
        <v>1289.45</v>
      </c>
      <c r="D62" s="18" t="n">
        <v>18.3113</v>
      </c>
    </row>
    <row r="63">
      <c r="A63" s="15" t="inlineStr">
        <is>
          <t>B059</t>
        </is>
      </c>
      <c r="B63" s="15" t="inlineStr">
        <is>
          <t>B</t>
        </is>
      </c>
      <c r="C63" s="17" t="n">
        <v>1560.68</v>
      </c>
      <c r="D63" s="18" t="n">
        <v>2.6968</v>
      </c>
    </row>
    <row r="64">
      <c r="A64" s="15" t="inlineStr">
        <is>
          <t>B060</t>
        </is>
      </c>
      <c r="B64" s="15" t="inlineStr">
        <is>
          <t>B</t>
        </is>
      </c>
      <c r="C64" s="17" t="n">
        <v>1366.85</v>
      </c>
      <c r="D64" s="18" t="n">
        <v>17.175</v>
      </c>
    </row>
    <row r="65">
      <c r="A65" s="15" t="inlineStr">
        <is>
          <t>B061</t>
        </is>
      </c>
      <c r="B65" s="15" t="inlineStr">
        <is>
          <t>B</t>
        </is>
      </c>
      <c r="C65" s="17" t="n">
        <v>1177.93</v>
      </c>
      <c r="D65" s="18" t="n">
        <v>14.4707</v>
      </c>
    </row>
    <row r="66">
      <c r="A66" s="15" t="inlineStr">
        <is>
          <t>B062</t>
        </is>
      </c>
      <c r="B66" s="15" t="inlineStr">
        <is>
          <t>B</t>
        </is>
      </c>
      <c r="C66" s="17" t="n">
        <v>1435.1</v>
      </c>
      <c r="D66" s="18" t="n">
        <v>26.4321</v>
      </c>
    </row>
    <row r="67">
      <c r="A67" s="15" t="inlineStr">
        <is>
          <t>B063</t>
        </is>
      </c>
      <c r="B67" s="15" t="inlineStr">
        <is>
          <t>B</t>
        </is>
      </c>
      <c r="C67" s="17" t="n">
        <v>1436.81</v>
      </c>
      <c r="D67" s="18" t="n">
        <v>13.551</v>
      </c>
    </row>
    <row r="68">
      <c r="A68" s="15" t="inlineStr">
        <is>
          <t>B064</t>
        </is>
      </c>
      <c r="B68" s="15" t="inlineStr">
        <is>
          <t>B</t>
        </is>
      </c>
      <c r="C68" s="17" t="n">
        <v>1287.04</v>
      </c>
      <c r="D68" s="18" t="n">
        <v>16.9725</v>
      </c>
    </row>
    <row r="69">
      <c r="A69" s="15" t="inlineStr">
        <is>
          <t>B065</t>
        </is>
      </c>
      <c r="B69" s="15" t="inlineStr">
        <is>
          <t>B</t>
        </is>
      </c>
      <c r="C69" s="17" t="n">
        <v>1432.48</v>
      </c>
      <c r="D69" s="18" t="n">
        <v>5.0881</v>
      </c>
    </row>
    <row r="70">
      <c r="A70" s="15" t="inlineStr">
        <is>
          <t>B066</t>
        </is>
      </c>
      <c r="B70" s="15" t="inlineStr">
        <is>
          <t>B</t>
        </is>
      </c>
      <c r="C70" s="17" t="n">
        <v>1692.82</v>
      </c>
      <c r="D70" s="18" t="n">
        <v>9.1441</v>
      </c>
    </row>
    <row r="71">
      <c r="A71" s="15" t="inlineStr">
        <is>
          <t>B067</t>
        </is>
      </c>
      <c r="B71" s="15" t="inlineStr">
        <is>
          <t>B</t>
        </is>
      </c>
      <c r="C71" s="17" t="n">
        <v>1177.93</v>
      </c>
      <c r="D71" s="18" t="n">
        <v>5.2953</v>
      </c>
    </row>
    <row r="72">
      <c r="A72" s="15" t="inlineStr">
        <is>
          <t>B068</t>
        </is>
      </c>
      <c r="B72" s="15" t="inlineStr">
        <is>
          <t>B</t>
        </is>
      </c>
      <c r="C72" s="17" t="n">
        <v>1461.94</v>
      </c>
      <c r="D72" s="18" t="n">
        <v>9.084199999999999</v>
      </c>
    </row>
    <row r="73">
      <c r="A73" s="15" t="inlineStr">
        <is>
          <t>B069</t>
        </is>
      </c>
      <c r="B73" s="15" t="inlineStr">
        <is>
          <t>B</t>
        </is>
      </c>
      <c r="C73" s="17" t="n">
        <v>1542.42</v>
      </c>
      <c r="D73" s="18" t="n">
        <v>12.9473</v>
      </c>
    </row>
    <row r="74">
      <c r="A74" s="15" t="inlineStr">
        <is>
          <t>B070</t>
        </is>
      </c>
      <c r="B74" s="15" t="inlineStr">
        <is>
          <t>B</t>
        </is>
      </c>
      <c r="C74" s="17" t="n">
        <v>1343.07</v>
      </c>
      <c r="D74" s="18" t="n">
        <v>11.9406</v>
      </c>
    </row>
    <row r="75">
      <c r="A75" s="15" t="inlineStr">
        <is>
          <t>B071</t>
        </is>
      </c>
      <c r="B75" s="15" t="inlineStr">
        <is>
          <t>B</t>
        </is>
      </c>
      <c r="C75" s="17" t="n">
        <v>904.86</v>
      </c>
      <c r="D75" s="18" t="n">
        <v>17.2249</v>
      </c>
    </row>
    <row r="76">
      <c r="A76" s="15" t="inlineStr">
        <is>
          <t>B072</t>
        </is>
      </c>
      <c r="B76" s="15" t="inlineStr">
        <is>
          <t>B</t>
        </is>
      </c>
      <c r="C76" s="17" t="n">
        <v>1480.56</v>
      </c>
      <c r="D76" s="18" t="n">
        <v>9.324199999999999</v>
      </c>
    </row>
    <row r="77">
      <c r="A77" s="15" t="inlineStr">
        <is>
          <t>B073</t>
        </is>
      </c>
      <c r="B77" s="15" t="inlineStr">
        <is>
          <t>B</t>
        </is>
      </c>
      <c r="C77" s="17" t="n">
        <v>1577.94</v>
      </c>
      <c r="D77" s="18" t="n">
        <v>19.626</v>
      </c>
    </row>
    <row r="78">
      <c r="A78" s="15" t="inlineStr">
        <is>
          <t>B074</t>
        </is>
      </c>
      <c r="B78" s="15" t="inlineStr">
        <is>
          <t>B</t>
        </is>
      </c>
      <c r="C78" s="17" t="n">
        <v>1541.57</v>
      </c>
      <c r="D78" s="18" t="n">
        <v>7.124</v>
      </c>
    </row>
    <row r="79">
      <c r="A79" s="15" t="inlineStr">
        <is>
          <t>B075</t>
        </is>
      </c>
      <c r="B79" s="15" t="inlineStr">
        <is>
          <t>B</t>
        </is>
      </c>
      <c r="C79" s="17" t="n">
        <v>1450.23</v>
      </c>
      <c r="D79" s="18" t="n">
        <v>12.0726</v>
      </c>
    </row>
    <row r="80">
      <c r="A80" s="15" t="inlineStr">
        <is>
          <t>B076</t>
        </is>
      </c>
      <c r="B80" s="15" t="inlineStr">
        <is>
          <t>B</t>
        </is>
      </c>
      <c r="C80" s="17" t="n">
        <v>1079.08</v>
      </c>
      <c r="D80" s="18" t="n">
        <v>2.3027</v>
      </c>
    </row>
    <row r="81">
      <c r="A81" s="15" t="inlineStr">
        <is>
          <t>B077</t>
        </is>
      </c>
      <c r="B81" s="15" t="inlineStr">
        <is>
          <t>B</t>
        </is>
      </c>
      <c r="C81" s="17" t="n">
        <v>1536.96</v>
      </c>
      <c r="D81" s="18" t="n">
        <v>9.803699999999999</v>
      </c>
    </row>
    <row r="82">
      <c r="A82" s="15" t="inlineStr">
        <is>
          <t>B078</t>
        </is>
      </c>
      <c r="B82" s="15" t="inlineStr">
        <is>
          <t>B</t>
        </is>
      </c>
      <c r="C82" s="17" t="n">
        <v>1970.3</v>
      </c>
      <c r="D82" s="18" t="n">
        <v>12.1962</v>
      </c>
    </row>
    <row r="83">
      <c r="A83" s="15" t="inlineStr">
        <is>
          <t>B079</t>
        </is>
      </c>
      <c r="B83" s="15" t="inlineStr">
        <is>
          <t>B</t>
        </is>
      </c>
      <c r="C83" s="17" t="n">
        <v>1546.42</v>
      </c>
      <c r="D83" s="18" t="n">
        <v>11.8658</v>
      </c>
    </row>
    <row r="84">
      <c r="A84" s="15" t="inlineStr">
        <is>
          <t>B080</t>
        </is>
      </c>
      <c r="B84" s="15" t="inlineStr">
        <is>
          <t>B</t>
        </is>
      </c>
      <c r="C84" s="17" t="n">
        <v>1234.08</v>
      </c>
      <c r="D84" s="18" t="n">
        <v>26.1772</v>
      </c>
    </row>
    <row r="85">
      <c r="A85" s="15" t="inlineStr">
        <is>
          <t>B081</t>
        </is>
      </c>
      <c r="B85" s="15" t="inlineStr">
        <is>
          <t>B</t>
        </is>
      </c>
      <c r="C85" s="17" t="n">
        <v>1421.69</v>
      </c>
      <c r="D85" s="18" t="n">
        <v>22.5457</v>
      </c>
    </row>
    <row r="86">
      <c r="A86" s="15" t="inlineStr">
        <is>
          <t>B082</t>
        </is>
      </c>
      <c r="B86" s="15" t="inlineStr">
        <is>
          <t>B</t>
        </is>
      </c>
      <c r="C86" s="17" t="n">
        <v>1151.71</v>
      </c>
      <c r="D86" s="18" t="n">
        <v>23.6393</v>
      </c>
    </row>
    <row r="87">
      <c r="A87" s="15" t="inlineStr">
        <is>
          <t>B083</t>
        </is>
      </c>
      <c r="B87" s="15" t="inlineStr">
        <is>
          <t>B</t>
        </is>
      </c>
      <c r="C87" s="17" t="n">
        <v>1383.16</v>
      </c>
      <c r="D87" s="18" t="n">
        <v>19.9734</v>
      </c>
    </row>
    <row r="88">
      <c r="A88" s="15" t="inlineStr">
        <is>
          <t>B084</t>
        </is>
      </c>
      <c r="B88" s="15" t="inlineStr">
        <is>
          <t>B</t>
        </is>
      </c>
      <c r="C88" s="17" t="n">
        <v>1553.26</v>
      </c>
      <c r="D88" s="18" t="n">
        <v>15.8011</v>
      </c>
    </row>
    <row r="89">
      <c r="A89" s="15" t="inlineStr">
        <is>
          <t>B085</t>
        </is>
      </c>
      <c r="B89" s="15" t="inlineStr">
        <is>
          <t>B</t>
        </is>
      </c>
      <c r="C89" s="17" t="n">
        <v>815.28</v>
      </c>
      <c r="D89" s="18" t="n">
        <v>10.656</v>
      </c>
    </row>
    <row r="90">
      <c r="A90" s="15" t="inlineStr">
        <is>
          <t>B086</t>
        </is>
      </c>
      <c r="B90" s="15" t="inlineStr">
        <is>
          <t>B</t>
        </is>
      </c>
      <c r="C90" s="17" t="n">
        <v>1383.16</v>
      </c>
      <c r="D90" s="18" t="n">
        <v>11.8565</v>
      </c>
    </row>
    <row r="91">
      <c r="A91" s="15" t="inlineStr">
        <is>
          <t>B087</t>
        </is>
      </c>
      <c r="B91" s="15" t="inlineStr">
        <is>
          <t>B</t>
        </is>
      </c>
      <c r="C91" s="17" t="n">
        <v>1100.33</v>
      </c>
      <c r="D91" s="18" t="n">
        <v>18.0034</v>
      </c>
    </row>
    <row r="92">
      <c r="A92" s="15" t="inlineStr">
        <is>
          <t>B088</t>
        </is>
      </c>
      <c r="B92" s="15" t="inlineStr">
        <is>
          <t>B</t>
        </is>
      </c>
      <c r="C92" s="17" t="n">
        <v>802.01</v>
      </c>
      <c r="D92" s="18" t="n">
        <v>11.1017</v>
      </c>
    </row>
    <row r="93">
      <c r="A93" s="15" t="inlineStr">
        <is>
          <t>B089</t>
        </is>
      </c>
      <c r="B93" s="15" t="inlineStr">
        <is>
          <t>B</t>
        </is>
      </c>
      <c r="C93" s="17" t="n">
        <v>1103.06</v>
      </c>
      <c r="D93" s="18" t="n">
        <v>19.4093</v>
      </c>
    </row>
    <row r="94">
      <c r="A94" s="15" t="inlineStr">
        <is>
          <t>B090</t>
        </is>
      </c>
      <c r="B94" s="15" t="inlineStr">
        <is>
          <t>B</t>
        </is>
      </c>
      <c r="C94" s="17" t="n">
        <v>1752.11</v>
      </c>
      <c r="D94" s="18" t="n">
        <v>5.922</v>
      </c>
    </row>
    <row r="95">
      <c r="A95" s="15" t="inlineStr">
        <is>
          <t>B091</t>
        </is>
      </c>
      <c r="B95" s="15" t="inlineStr">
        <is>
          <t>B</t>
        </is>
      </c>
      <c r="C95" s="17" t="n">
        <v>1321.91</v>
      </c>
      <c r="D95" s="18" t="n">
        <v>14.5077</v>
      </c>
    </row>
    <row r="96">
      <c r="A96" s="15" t="inlineStr">
        <is>
          <t>B092</t>
        </is>
      </c>
      <c r="B96" s="15" t="inlineStr">
        <is>
          <t>B</t>
        </is>
      </c>
      <c r="C96" s="17" t="n">
        <v>1387.82</v>
      </c>
      <c r="D96" s="18" t="n">
        <v>29.6456</v>
      </c>
    </row>
    <row r="97">
      <c r="A97" s="15" t="inlineStr">
        <is>
          <t>C093</t>
        </is>
      </c>
      <c r="B97" s="15" t="inlineStr">
        <is>
          <t>C</t>
        </is>
      </c>
      <c r="C97" s="17" t="n">
        <v>1528.21</v>
      </c>
      <c r="D97" s="18" t="n">
        <v>20.2632</v>
      </c>
    </row>
    <row r="98">
      <c r="A98" s="15" t="inlineStr">
        <is>
          <t>C094</t>
        </is>
      </c>
      <c r="B98" s="15" t="inlineStr">
        <is>
          <t>C</t>
        </is>
      </c>
      <c r="C98" s="17" t="n">
        <v>857.35</v>
      </c>
      <c r="D98" s="18" t="n">
        <v>14.2356</v>
      </c>
    </row>
    <row r="99">
      <c r="A99" s="15" t="inlineStr">
        <is>
          <t>C095</t>
        </is>
      </c>
      <c r="B99" s="15" t="inlineStr">
        <is>
          <t>C</t>
        </is>
      </c>
      <c r="C99" s="17" t="n">
        <v>901.25</v>
      </c>
      <c r="D99" s="18" t="n">
        <v>4.4375</v>
      </c>
    </row>
    <row r="100">
      <c r="A100" s="15" t="inlineStr">
        <is>
          <t>C096</t>
        </is>
      </c>
      <c r="B100" s="15" t="inlineStr">
        <is>
          <t>C</t>
        </is>
      </c>
      <c r="C100" s="17" t="n">
        <v>1474.49</v>
      </c>
      <c r="D100" s="18" t="n">
        <v>6.5612</v>
      </c>
    </row>
    <row r="101">
      <c r="A101" s="15" t="inlineStr">
        <is>
          <t>C097</t>
        </is>
      </c>
      <c r="B101" s="15" t="inlineStr">
        <is>
          <t>C</t>
        </is>
      </c>
      <c r="C101" s="17" t="n">
        <v>1340.74</v>
      </c>
      <c r="D101" s="18" t="n">
        <v>16.427</v>
      </c>
    </row>
    <row r="102">
      <c r="A102" s="15" t="inlineStr">
        <is>
          <t>C098</t>
        </is>
      </c>
      <c r="B102" s="15" t="inlineStr">
        <is>
          <t>C</t>
        </is>
      </c>
      <c r="C102" s="17" t="n">
        <v>1617.68</v>
      </c>
      <c r="D102" s="18" t="n">
        <v>20.0905</v>
      </c>
    </row>
    <row r="103">
      <c r="A103" s="15" t="inlineStr">
        <is>
          <t>C099</t>
        </is>
      </c>
      <c r="B103" s="15" t="inlineStr">
        <is>
          <t>C</t>
        </is>
      </c>
      <c r="C103" s="17" t="n">
        <v>1467.14</v>
      </c>
      <c r="D103" s="18" t="n">
        <v>12.4172</v>
      </c>
    </row>
    <row r="104">
      <c r="A104" s="15" t="inlineStr">
        <is>
          <t>C100</t>
        </is>
      </c>
      <c r="B104" s="15" t="inlineStr">
        <is>
          <t>C</t>
        </is>
      </c>
      <c r="C104" s="17" t="n">
        <v>1187.99</v>
      </c>
      <c r="D104" s="18" t="n">
        <v>9.988799999999999</v>
      </c>
    </row>
    <row r="105">
      <c r="A105" s="15" t="inlineStr">
        <is>
          <t>C101</t>
        </is>
      </c>
      <c r="B105" s="15" t="inlineStr">
        <is>
          <t>C</t>
        </is>
      </c>
      <c r="C105" s="17" t="n">
        <v>1394.11</v>
      </c>
      <c r="D105" s="18" t="n">
        <v>16.2724</v>
      </c>
    </row>
    <row r="106">
      <c r="A106" s="15" t="inlineStr">
        <is>
          <t>C102</t>
        </is>
      </c>
      <c r="B106" s="15" t="inlineStr">
        <is>
          <t>C</t>
        </is>
      </c>
      <c r="C106" s="17" t="n">
        <v>1098.07</v>
      </c>
      <c r="D106" s="18" t="n">
        <v>12.8936</v>
      </c>
    </row>
    <row r="107">
      <c r="A107" s="15" t="inlineStr">
        <is>
          <t>C103</t>
        </is>
      </c>
      <c r="B107" s="15" t="inlineStr">
        <is>
          <t>C</t>
        </is>
      </c>
      <c r="C107" s="17" t="n">
        <v>1336.08</v>
      </c>
      <c r="D107" s="18" t="n">
        <v>18.5598</v>
      </c>
    </row>
    <row r="108">
      <c r="A108" s="15" t="inlineStr">
        <is>
          <t>C104</t>
        </is>
      </c>
      <c r="B108" s="15" t="inlineStr">
        <is>
          <t>C</t>
        </is>
      </c>
      <c r="C108" s="17" t="n">
        <v>880.7</v>
      </c>
      <c r="D108" s="18" t="n">
        <v>14.9318</v>
      </c>
    </row>
    <row r="109">
      <c r="A109" s="15" t="inlineStr">
        <is>
          <t>C105</t>
        </is>
      </c>
      <c r="B109" s="15" t="inlineStr">
        <is>
          <t>C</t>
        </is>
      </c>
      <c r="C109" s="17" t="n">
        <v>2149.01</v>
      </c>
      <c r="D109" s="18" t="n">
        <v>21.9779</v>
      </c>
    </row>
    <row r="110">
      <c r="A110" s="15" t="inlineStr">
        <is>
          <t>C106</t>
        </is>
      </c>
      <c r="B110" s="15" t="inlineStr">
        <is>
          <t>C</t>
        </is>
      </c>
      <c r="C110" s="17" t="n">
        <v>1423.41</v>
      </c>
      <c r="D110" s="18" t="n">
        <v>23.3743</v>
      </c>
    </row>
    <row r="111">
      <c r="A111" s="15" t="inlineStr">
        <is>
          <t>C107</t>
        </is>
      </c>
      <c r="B111" s="15" t="inlineStr">
        <is>
          <t>C</t>
        </is>
      </c>
      <c r="C111" s="17" t="n">
        <v>1092.62</v>
      </c>
      <c r="D111" s="18" t="n">
        <v>5.1358</v>
      </c>
    </row>
    <row r="112">
      <c r="A112" s="15" t="inlineStr">
        <is>
          <t>C108</t>
        </is>
      </c>
      <c r="B112" s="15" t="inlineStr">
        <is>
          <t>C</t>
        </is>
      </c>
      <c r="C112" s="17" t="n">
        <v>1309.15</v>
      </c>
      <c r="D112" s="18" t="n">
        <v>15.3273</v>
      </c>
    </row>
    <row r="113">
      <c r="A113" s="15" t="inlineStr">
        <is>
          <t>C109</t>
        </is>
      </c>
      <c r="B113" s="15" t="inlineStr">
        <is>
          <t>C</t>
        </is>
      </c>
      <c r="C113" s="17" t="n">
        <v>1289.45</v>
      </c>
      <c r="D113" s="18" t="n">
        <v>2.2875</v>
      </c>
    </row>
    <row r="114">
      <c r="A114" s="15" t="inlineStr">
        <is>
          <t>C110</t>
        </is>
      </c>
      <c r="B114" s="15" t="inlineStr">
        <is>
          <t>C</t>
        </is>
      </c>
      <c r="C114" s="17" t="n">
        <v>1315.81</v>
      </c>
      <c r="D114" s="18" t="n">
        <v>16.9863</v>
      </c>
    </row>
    <row r="115">
      <c r="A115" s="15" t="inlineStr">
        <is>
          <t>C111</t>
        </is>
      </c>
      <c r="B115" s="15" t="inlineStr">
        <is>
          <t>C</t>
        </is>
      </c>
      <c r="C115" s="17" t="n">
        <v>1613.72</v>
      </c>
      <c r="D115" s="18" t="n">
        <v>19.7214</v>
      </c>
    </row>
    <row r="116">
      <c r="A116" s="15" t="inlineStr">
        <is>
          <t>C112</t>
        </is>
      </c>
      <c r="B116" s="15" t="inlineStr">
        <is>
          <t>C</t>
        </is>
      </c>
      <c r="C116" s="17" t="n">
        <v>842.3</v>
      </c>
      <c r="D116" s="18" t="n">
        <v>6.002</v>
      </c>
    </row>
    <row r="117">
      <c r="A117" s="15" t="inlineStr">
        <is>
          <t>C113</t>
        </is>
      </c>
      <c r="B117" s="15" t="inlineStr">
        <is>
          <t>C</t>
        </is>
      </c>
      <c r="C117" s="17" t="n">
        <v>1528.21</v>
      </c>
      <c r="D117" s="18" t="n">
        <v>15.44</v>
      </c>
    </row>
    <row r="118">
      <c r="A118" s="15" t="inlineStr">
        <is>
          <t>C114</t>
        </is>
      </c>
      <c r="B118" s="15" t="inlineStr">
        <is>
          <t>C</t>
        </is>
      </c>
      <c r="C118" s="17" t="n">
        <v>1556.72</v>
      </c>
      <c r="D118" s="18" t="n">
        <v>20.5448</v>
      </c>
    </row>
    <row r="119">
      <c r="A119" s="15" t="inlineStr">
        <is>
          <t>C115</t>
        </is>
      </c>
      <c r="B119" s="15" t="inlineStr">
        <is>
          <t>C</t>
        </is>
      </c>
      <c r="C119" s="17" t="n">
        <v>1207.75</v>
      </c>
      <c r="D119" s="18" t="n">
        <v>10.0609</v>
      </c>
    </row>
    <row r="120">
      <c r="A120" s="15" t="inlineStr">
        <is>
          <t>C116</t>
        </is>
      </c>
      <c r="B120" s="15" t="inlineStr">
        <is>
          <t>C</t>
        </is>
      </c>
      <c r="C120" s="17" t="n">
        <v>1643.82</v>
      </c>
      <c r="D120" s="18" t="n">
        <v>19.3999</v>
      </c>
    </row>
    <row r="121">
      <c r="A121" s="15" t="inlineStr">
        <is>
          <t>C117</t>
        </is>
      </c>
      <c r="B121" s="15" t="inlineStr">
        <is>
          <t>C</t>
        </is>
      </c>
      <c r="C121" s="17" t="n">
        <v>1119.26</v>
      </c>
      <c r="D121" s="18" t="n">
        <v>23.6589</v>
      </c>
    </row>
    <row r="122">
      <c r="A122" s="15" t="inlineStr">
        <is>
          <t>C118</t>
        </is>
      </c>
      <c r="B122" s="15" t="inlineStr">
        <is>
          <t>C</t>
        </is>
      </c>
      <c r="C122" s="17" t="n">
        <v>1436.81</v>
      </c>
      <c r="D122" s="18" t="n">
        <v>9.068300000000001</v>
      </c>
    </row>
    <row r="123">
      <c r="A123" s="15" t="inlineStr">
        <is>
          <t>C119</t>
        </is>
      </c>
      <c r="B123" s="15" t="inlineStr">
        <is>
          <t>C</t>
        </is>
      </c>
      <c r="C123" s="17" t="n">
        <v>1611.35</v>
      </c>
      <c r="D123" s="18" t="n">
        <v>29.0269</v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9" t="inlineStr">
        <is>
          <t>F24 di settembre: deleghe contro cedolini</t>
        </is>
      </c>
    </row>
    <row r="2">
      <c r="A2" s="10" t="inlineStr">
        <is>
          <t>Ritenute IRPEF (codice tributo 1001) e contributi a carico dei dipendenti, per cliente.</t>
        </is>
      </c>
    </row>
    <row r="4" ht="32" customHeight="1">
      <c r="A4" s="11" t="inlineStr">
        <is>
          <t>Cliente</t>
        </is>
      </c>
      <c r="B4" s="11" t="inlineStr">
        <is>
          <t>Ritenute in F24</t>
        </is>
      </c>
      <c r="C4" s="11" t="inlineStr">
        <is>
          <t>Ritenute nei cedolini</t>
        </is>
      </c>
      <c r="D4" s="11" t="inlineStr">
        <is>
          <t>Differenza</t>
        </is>
      </c>
      <c r="E4" s="11" t="inlineStr">
        <is>
          <t>Contributi in F24</t>
        </is>
      </c>
      <c r="F4" s="11" t="inlineStr">
        <is>
          <t>Contributi nei cedolini</t>
        </is>
      </c>
      <c r="G4" s="11" t="inlineStr">
        <is>
          <t>Differenza</t>
        </is>
      </c>
      <c r="H4" s="11" t="inlineStr">
        <is>
          <t>C08 Esito</t>
        </is>
      </c>
    </row>
    <row r="5">
      <c r="A5" s="15" t="inlineStr">
        <is>
          <t>A</t>
        </is>
      </c>
      <c r="B5" s="17" t="n">
        <v>4315.37</v>
      </c>
      <c r="C5" s="19">
        <f>ROUND(SUMIFS(Settembre!$Q$5:$Q$126,Settembre!$B$5:$B$126,A5),2)</f>
        <v/>
      </c>
      <c r="D5" s="19">
        <f>ROUND(B5-C5,2)</f>
        <v/>
      </c>
      <c r="E5" s="17" t="n">
        <v>3049.18</v>
      </c>
      <c r="F5" s="19">
        <f>ROUND(SUMIFS(Settembre!$O$5:$O$126,Settembre!$B$5:$B$126,A5),2)</f>
        <v/>
      </c>
      <c r="G5" s="19">
        <f>ROUND(E5-F5,2)</f>
        <v/>
      </c>
      <c r="H5" s="4">
        <f>IF(OR(ABS(D5)&gt;Parametri!$C$11,ABS(G5)&gt;Parametri!$C$11),"ERRORE","OK")</f>
        <v/>
      </c>
    </row>
    <row r="6">
      <c r="A6" s="15" t="inlineStr">
        <is>
          <t>B</t>
        </is>
      </c>
      <c r="B6" s="17" t="n">
        <v>18013.87</v>
      </c>
      <c r="C6" s="19">
        <f>ROUND(SUMIFS(Settembre!$Q$5:$Q$126,Settembre!$B$5:$B$126,A6),2)</f>
        <v/>
      </c>
      <c r="D6" s="19">
        <f>ROUND(B6-C6,2)</f>
        <v/>
      </c>
      <c r="E6" s="17" t="n">
        <v>12777.48</v>
      </c>
      <c r="F6" s="19">
        <f>ROUND(SUMIFS(Settembre!$O$5:$O$126,Settembre!$B$5:$B$126,A6),2)</f>
        <v/>
      </c>
      <c r="G6" s="19">
        <f>ROUND(E6-F6,2)</f>
        <v/>
      </c>
      <c r="H6" s="4">
        <f>IF(OR(ABS(D6)&gt;Parametri!$C$11,ABS(G6)&gt;Parametri!$C$11),"ERRORE","OK")</f>
        <v/>
      </c>
    </row>
    <row r="7">
      <c r="A7" s="15" t="inlineStr">
        <is>
          <t>C</t>
        </is>
      </c>
      <c r="B7" s="17" t="n">
        <v>6068.59</v>
      </c>
      <c r="C7" s="19">
        <f>ROUND(SUMIFS(Settembre!$Q$5:$Q$126,Settembre!$B$5:$B$126,A7),2)</f>
        <v/>
      </c>
      <c r="D7" s="19">
        <f>ROUND(B7-C7,2)</f>
        <v/>
      </c>
      <c r="E7" s="17" t="n">
        <v>4470.73</v>
      </c>
      <c r="F7" s="19">
        <f>ROUND(SUMIFS(Settembre!$O$5:$O$126,Settembre!$B$5:$B$126,A7),2)</f>
        <v/>
      </c>
      <c r="G7" s="19">
        <f>ROUND(E7-F7,2)</f>
        <v/>
      </c>
      <c r="H7" s="4">
        <f>IF(OR(ABS(D7)&gt;Parametri!$C$11,ABS(G7)&gt;Parametri!$C$11),"ERRORE","OK")</f>
        <v/>
      </c>
    </row>
  </sheetData>
  <conditionalFormatting sqref="H5:H7">
    <cfRule type="cellIs" priority="1" operator="equal" dxfId="0">
      <formula>"ERRORE"</formula>
    </cfRule>
    <cfRule type="cellIs" priority="2" operator="equal" dxfId="1">
      <formula>"OK"</formula>
    </cfRule>
  </conditionalFormatting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10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4" customWidth="1" min="11" max="11"/>
  </cols>
  <sheetData>
    <row r="1">
      <c r="A1" s="9" t="inlineStr">
        <is>
          <t>Novembre 2026: la nuova tranche del CCNL Terziario</t>
        </is>
      </c>
    </row>
    <row r="2">
      <c r="A2" s="10" t="inlineStr">
        <is>
          <t>Dal 1° novembre 2026 i minimi salgono. Superminimo assorbibile: verificare la lettera di assunzione di ciascuno.</t>
        </is>
      </c>
    </row>
    <row r="4" ht="32" customHeight="1">
      <c r="A4" s="11" t="inlineStr">
        <is>
          <t>Matricola</t>
        </is>
      </c>
      <c r="B4" s="11" t="inlineStr">
        <is>
          <t>Cliente</t>
        </is>
      </c>
      <c r="C4" s="11" t="inlineStr">
        <is>
          <t>Livello</t>
        </is>
      </c>
      <c r="D4" s="11" t="inlineStr">
        <is>
          <t>Part-time</t>
        </is>
      </c>
      <c r="E4" s="11" t="inlineStr">
        <is>
          <t>Superminimo</t>
        </is>
      </c>
      <c r="F4" s="11" t="inlineStr">
        <is>
          <t>Assorbibile</t>
        </is>
      </c>
      <c r="G4" s="11" t="inlineStr">
        <is>
          <t>Aumento mensile</t>
        </is>
      </c>
      <c r="H4" s="11" t="inlineStr">
        <is>
          <t>Assorbito</t>
        </is>
      </c>
      <c r="I4" s="11" t="inlineStr">
        <is>
          <t>Da pagare</t>
        </is>
      </c>
      <c r="J4" s="11" t="inlineStr">
        <is>
          <t>Nuovo tabellare</t>
        </is>
      </c>
      <c r="K4" s="11" t="inlineStr">
        <is>
          <t>Nuovo superminimo</t>
        </is>
      </c>
    </row>
    <row r="5">
      <c r="A5" s="15" t="inlineStr">
        <is>
          <t>A001</t>
        </is>
      </c>
      <c r="B5" s="15" t="inlineStr">
        <is>
          <t>A</t>
        </is>
      </c>
      <c r="C5" s="15" t="inlineStr">
        <is>
          <t>6</t>
        </is>
      </c>
      <c r="D5" s="15" t="n">
        <v>1</v>
      </c>
      <c r="E5" s="17" t="n">
        <v>150</v>
      </c>
      <c r="F5" s="15" t="b">
        <v>0</v>
      </c>
      <c r="G5" s="19">
        <f>ROUND((INDEX(CCNL!$G$5:$G$12,MATCH(C5,CCNL!$A$5:$A$12,0))-INDEX(CCNL!$F$5:$F$12,MATCH(C5,CCNL!$A$5:$A$12,0)))*D5,2)</f>
        <v/>
      </c>
      <c r="H5" s="19">
        <f>IF(F5,MIN(E5,G5),0)</f>
        <v/>
      </c>
      <c r="I5" s="19">
        <f>ROUND(G5-H5,2)</f>
        <v/>
      </c>
      <c r="J5" s="19">
        <f>ROUND(INDEX(CCNL!$G$5:$G$12,MATCH(C5,CCNL!$A$5:$A$12,0))*D5,2)</f>
        <v/>
      </c>
      <c r="K5" s="19">
        <f>ROUND(E5-H5,2)</f>
        <v/>
      </c>
    </row>
    <row r="6">
      <c r="A6" s="15" t="inlineStr">
        <is>
          <t>A002</t>
        </is>
      </c>
      <c r="B6" s="15" t="inlineStr">
        <is>
          <t>A</t>
        </is>
      </c>
      <c r="C6" s="15" t="inlineStr">
        <is>
          <t>5</t>
        </is>
      </c>
      <c r="D6" s="15" t="n">
        <v>1</v>
      </c>
      <c r="E6" s="17" t="n">
        <v>200</v>
      </c>
      <c r="F6" s="15" t="b">
        <v>0</v>
      </c>
      <c r="G6" s="19">
        <f>ROUND((INDEX(CCNL!$G$5:$G$12,MATCH(C6,CCNL!$A$5:$A$12,0))-INDEX(CCNL!$F$5:$F$12,MATCH(C6,CCNL!$A$5:$A$12,0)))*D6,2)</f>
        <v/>
      </c>
      <c r="H6" s="19">
        <f>IF(F6,MIN(E6,G6),0)</f>
        <v/>
      </c>
      <c r="I6" s="19">
        <f>ROUND(G6-H6,2)</f>
        <v/>
      </c>
      <c r="J6" s="19">
        <f>ROUND(INDEX(CCNL!$G$5:$G$12,MATCH(C6,CCNL!$A$5:$A$12,0))*D6,2)</f>
        <v/>
      </c>
      <c r="K6" s="19">
        <f>ROUND(E6-H6,2)</f>
        <v/>
      </c>
    </row>
    <row r="7">
      <c r="A7" s="15" t="inlineStr">
        <is>
          <t>A003</t>
        </is>
      </c>
      <c r="B7" s="15" t="inlineStr">
        <is>
          <t>A</t>
        </is>
      </c>
      <c r="C7" s="15" t="inlineStr">
        <is>
          <t>4</t>
        </is>
      </c>
      <c r="D7" s="15" t="n">
        <v>1</v>
      </c>
      <c r="E7" s="17" t="n">
        <v>200</v>
      </c>
      <c r="F7" s="15" t="b">
        <v>0</v>
      </c>
      <c r="G7" s="19">
        <f>ROUND((INDEX(CCNL!$G$5:$G$12,MATCH(C7,CCNL!$A$5:$A$12,0))-INDEX(CCNL!$F$5:$F$12,MATCH(C7,CCNL!$A$5:$A$12,0)))*D7,2)</f>
        <v/>
      </c>
      <c r="H7" s="19">
        <f>IF(F7,MIN(E7,G7),0)</f>
        <v/>
      </c>
      <c r="I7" s="19">
        <f>ROUND(G7-H7,2)</f>
        <v/>
      </c>
      <c r="J7" s="19">
        <f>ROUND(INDEX(CCNL!$G$5:$G$12,MATCH(C7,CCNL!$A$5:$A$12,0))*D7,2)</f>
        <v/>
      </c>
      <c r="K7" s="19">
        <f>ROUND(E7-H7,2)</f>
        <v/>
      </c>
    </row>
    <row r="8">
      <c r="A8" s="15" t="inlineStr">
        <is>
          <t>A004</t>
        </is>
      </c>
      <c r="B8" s="15" t="inlineStr">
        <is>
          <t>A</t>
        </is>
      </c>
      <c r="C8" s="15" t="inlineStr">
        <is>
          <t>4</t>
        </is>
      </c>
      <c r="D8" s="15" t="n">
        <v>1</v>
      </c>
      <c r="E8" s="17" t="n">
        <v>300</v>
      </c>
      <c r="F8" s="15" t="b">
        <v>1</v>
      </c>
      <c r="G8" s="19">
        <f>ROUND((INDEX(CCNL!$G$5:$G$12,MATCH(C8,CCNL!$A$5:$A$12,0))-INDEX(CCNL!$F$5:$F$12,MATCH(C8,CCNL!$A$5:$A$12,0)))*D8,2)</f>
        <v/>
      </c>
      <c r="H8" s="19">
        <f>IF(F8,MIN(E8,G8),0)</f>
        <v/>
      </c>
      <c r="I8" s="19">
        <f>ROUND(G8-H8,2)</f>
        <v/>
      </c>
      <c r="J8" s="19">
        <f>ROUND(INDEX(CCNL!$G$5:$G$12,MATCH(C8,CCNL!$A$5:$A$12,0))*D8,2)</f>
        <v/>
      </c>
      <c r="K8" s="19">
        <f>ROUND(E8-H8,2)</f>
        <v/>
      </c>
    </row>
    <row r="9">
      <c r="A9" s="15" t="inlineStr">
        <is>
          <t>A005</t>
        </is>
      </c>
      <c r="B9" s="15" t="inlineStr">
        <is>
          <t>A</t>
        </is>
      </c>
      <c r="C9" s="15" t="inlineStr">
        <is>
          <t>5</t>
        </is>
      </c>
      <c r="D9" s="15" t="n">
        <v>0.75</v>
      </c>
      <c r="E9" s="17" t="n">
        <v>225</v>
      </c>
      <c r="F9" s="15" t="b">
        <v>1</v>
      </c>
      <c r="G9" s="19">
        <f>ROUND((INDEX(CCNL!$G$5:$G$12,MATCH(C9,CCNL!$A$5:$A$12,0))-INDEX(CCNL!$F$5:$F$12,MATCH(C9,CCNL!$A$5:$A$12,0)))*D9,2)</f>
        <v/>
      </c>
      <c r="H9" s="19">
        <f>IF(F9,MIN(E9,G9),0)</f>
        <v/>
      </c>
      <c r="I9" s="19">
        <f>ROUND(G9-H9,2)</f>
        <v/>
      </c>
      <c r="J9" s="19">
        <f>ROUND(INDEX(CCNL!$G$5:$G$12,MATCH(C9,CCNL!$A$5:$A$12,0))*D9,2)</f>
        <v/>
      </c>
      <c r="K9" s="19">
        <f>ROUND(E9-H9,2)</f>
        <v/>
      </c>
    </row>
    <row r="10">
      <c r="A10" s="15" t="inlineStr">
        <is>
          <t>A006</t>
        </is>
      </c>
      <c r="B10" s="15" t="inlineStr">
        <is>
          <t>A</t>
        </is>
      </c>
      <c r="C10" s="15" t="inlineStr">
        <is>
          <t>5</t>
        </is>
      </c>
      <c r="D10" s="15" t="n">
        <v>0.5</v>
      </c>
      <c r="E10" s="17" t="n">
        <v>150</v>
      </c>
      <c r="F10" s="15" t="b">
        <v>1</v>
      </c>
      <c r="G10" s="19">
        <f>ROUND((INDEX(CCNL!$G$5:$G$12,MATCH(C10,CCNL!$A$5:$A$12,0))-INDEX(CCNL!$F$5:$F$12,MATCH(C10,CCNL!$A$5:$A$12,0)))*D10,2)</f>
        <v/>
      </c>
      <c r="H10" s="19">
        <f>IF(F10,MIN(E10,G10),0)</f>
        <v/>
      </c>
      <c r="I10" s="19">
        <f>ROUND(G10-H10,2)</f>
        <v/>
      </c>
      <c r="J10" s="19">
        <f>ROUND(INDEX(CCNL!$G$5:$G$12,MATCH(C10,CCNL!$A$5:$A$12,0))*D10,2)</f>
        <v/>
      </c>
      <c r="K10" s="19">
        <f>ROUND(E10-H10,2)</f>
        <v/>
      </c>
    </row>
    <row r="11">
      <c r="A11" s="15" t="inlineStr">
        <is>
          <t>A007</t>
        </is>
      </c>
      <c r="B11" s="15" t="inlineStr">
        <is>
          <t>A</t>
        </is>
      </c>
      <c r="C11" s="15" t="inlineStr">
        <is>
          <t>1</t>
        </is>
      </c>
      <c r="D11" s="15" t="n">
        <v>1</v>
      </c>
      <c r="E11" s="17" t="n">
        <v>200</v>
      </c>
      <c r="F11" s="15" t="b">
        <v>1</v>
      </c>
      <c r="G11" s="19">
        <f>ROUND((INDEX(CCNL!$G$5:$G$12,MATCH(C11,CCNL!$A$5:$A$12,0))-INDEX(CCNL!$F$5:$F$12,MATCH(C11,CCNL!$A$5:$A$12,0)))*D11,2)</f>
        <v/>
      </c>
      <c r="H11" s="19">
        <f>IF(F11,MIN(E11,G11),0)</f>
        <v/>
      </c>
      <c r="I11" s="19">
        <f>ROUND(G11-H11,2)</f>
        <v/>
      </c>
      <c r="J11" s="19">
        <f>ROUND(INDEX(CCNL!$G$5:$G$12,MATCH(C11,CCNL!$A$5:$A$12,0))*D11,2)</f>
        <v/>
      </c>
      <c r="K11" s="19">
        <f>ROUND(E11-H11,2)</f>
        <v/>
      </c>
    </row>
    <row r="12">
      <c r="A12" s="15" t="inlineStr">
        <is>
          <t>A008</t>
        </is>
      </c>
      <c r="B12" s="15" t="inlineStr">
        <is>
          <t>A</t>
        </is>
      </c>
      <c r="C12" s="15" t="inlineStr">
        <is>
          <t>3</t>
        </is>
      </c>
      <c r="D12" s="15" t="n">
        <v>1</v>
      </c>
      <c r="E12" s="17" t="n">
        <v>0</v>
      </c>
      <c r="F12" s="15" t="b">
        <v>0</v>
      </c>
      <c r="G12" s="19">
        <f>ROUND((INDEX(CCNL!$G$5:$G$12,MATCH(C12,CCNL!$A$5:$A$12,0))-INDEX(CCNL!$F$5:$F$12,MATCH(C12,CCNL!$A$5:$A$12,0)))*D12,2)</f>
        <v/>
      </c>
      <c r="H12" s="19">
        <f>IF(F12,MIN(E12,G12),0)</f>
        <v/>
      </c>
      <c r="I12" s="19">
        <f>ROUND(G12-H12,2)</f>
        <v/>
      </c>
      <c r="J12" s="19">
        <f>ROUND(INDEX(CCNL!$G$5:$G$12,MATCH(C12,CCNL!$A$5:$A$12,0))*D12,2)</f>
        <v/>
      </c>
      <c r="K12" s="19">
        <f>ROUND(E12-H12,2)</f>
        <v/>
      </c>
    </row>
    <row r="13">
      <c r="A13" s="15" t="inlineStr">
        <is>
          <t>A009</t>
        </is>
      </c>
      <c r="B13" s="15" t="inlineStr">
        <is>
          <t>A</t>
        </is>
      </c>
      <c r="C13" s="15" t="inlineStr">
        <is>
          <t>6</t>
        </is>
      </c>
      <c r="D13" s="15" t="n">
        <v>1</v>
      </c>
      <c r="E13" s="17" t="n">
        <v>50</v>
      </c>
      <c r="F13" s="15" t="b">
        <v>1</v>
      </c>
      <c r="G13" s="19">
        <f>ROUND((INDEX(CCNL!$G$5:$G$12,MATCH(C13,CCNL!$A$5:$A$12,0))-INDEX(CCNL!$F$5:$F$12,MATCH(C13,CCNL!$A$5:$A$12,0)))*D13,2)</f>
        <v/>
      </c>
      <c r="H13" s="19">
        <f>IF(F13,MIN(E13,G13),0)</f>
        <v/>
      </c>
      <c r="I13" s="19">
        <f>ROUND(G13-H13,2)</f>
        <v/>
      </c>
      <c r="J13" s="19">
        <f>ROUND(INDEX(CCNL!$G$5:$G$12,MATCH(C13,CCNL!$A$5:$A$12,0))*D13,2)</f>
        <v/>
      </c>
      <c r="K13" s="19">
        <f>ROUND(E13-H13,2)</f>
        <v/>
      </c>
    </row>
    <row r="14">
      <c r="A14" s="15" t="inlineStr">
        <is>
          <t>A010</t>
        </is>
      </c>
      <c r="B14" s="15" t="inlineStr">
        <is>
          <t>A</t>
        </is>
      </c>
      <c r="C14" s="15" t="inlineStr">
        <is>
          <t>4</t>
        </is>
      </c>
      <c r="D14" s="15" t="n">
        <v>0.75</v>
      </c>
      <c r="E14" s="17" t="n">
        <v>60</v>
      </c>
      <c r="F14" s="15" t="b">
        <v>1</v>
      </c>
      <c r="G14" s="19">
        <f>ROUND((INDEX(CCNL!$G$5:$G$12,MATCH(C14,CCNL!$A$5:$A$12,0))-INDEX(CCNL!$F$5:$F$12,MATCH(C14,CCNL!$A$5:$A$12,0)))*D14,2)</f>
        <v/>
      </c>
      <c r="H14" s="19">
        <f>IF(F14,MIN(E14,G14),0)</f>
        <v/>
      </c>
      <c r="I14" s="19">
        <f>ROUND(G14-H14,2)</f>
        <v/>
      </c>
      <c r="J14" s="19">
        <f>ROUND(INDEX(CCNL!$G$5:$G$12,MATCH(C14,CCNL!$A$5:$A$12,0))*D14,2)</f>
        <v/>
      </c>
      <c r="K14" s="19">
        <f>ROUND(E14-H14,2)</f>
        <v/>
      </c>
    </row>
    <row r="15">
      <c r="A15" s="15" t="inlineStr">
        <is>
          <t>A011</t>
        </is>
      </c>
      <c r="B15" s="15" t="inlineStr">
        <is>
          <t>A</t>
        </is>
      </c>
      <c r="C15" s="15" t="inlineStr">
        <is>
          <t>4</t>
        </is>
      </c>
      <c r="D15" s="15" t="n">
        <v>1</v>
      </c>
      <c r="E15" s="17" t="n">
        <v>300</v>
      </c>
      <c r="F15" s="15" t="b">
        <v>1</v>
      </c>
      <c r="G15" s="19">
        <f>ROUND((INDEX(CCNL!$G$5:$G$12,MATCH(C15,CCNL!$A$5:$A$12,0))-INDEX(CCNL!$F$5:$F$12,MATCH(C15,CCNL!$A$5:$A$12,0)))*D15,2)</f>
        <v/>
      </c>
      <c r="H15" s="19">
        <f>IF(F15,MIN(E15,G15),0)</f>
        <v/>
      </c>
      <c r="I15" s="19">
        <f>ROUND(G15-H15,2)</f>
        <v/>
      </c>
      <c r="J15" s="19">
        <f>ROUND(INDEX(CCNL!$G$5:$G$12,MATCH(C15,CCNL!$A$5:$A$12,0))*D15,2)</f>
        <v/>
      </c>
      <c r="K15" s="19">
        <f>ROUND(E15-H15,2)</f>
        <v/>
      </c>
    </row>
    <row r="16">
      <c r="A16" s="15" t="inlineStr">
        <is>
          <t>A012</t>
        </is>
      </c>
      <c r="B16" s="15" t="inlineStr">
        <is>
          <t>A</t>
        </is>
      </c>
      <c r="C16" s="15" t="inlineStr">
        <is>
          <t>7</t>
        </is>
      </c>
      <c r="D16" s="15" t="n">
        <v>1</v>
      </c>
      <c r="E16" s="17" t="n">
        <v>0</v>
      </c>
      <c r="F16" s="15" t="b">
        <v>1</v>
      </c>
      <c r="G16" s="19">
        <f>ROUND((INDEX(CCNL!$G$5:$G$12,MATCH(C16,CCNL!$A$5:$A$12,0))-INDEX(CCNL!$F$5:$F$12,MATCH(C16,CCNL!$A$5:$A$12,0)))*D16,2)</f>
        <v/>
      </c>
      <c r="H16" s="19">
        <f>IF(F16,MIN(E16,G16),0)</f>
        <v/>
      </c>
      <c r="I16" s="19">
        <f>ROUND(G16-H16,2)</f>
        <v/>
      </c>
      <c r="J16" s="19">
        <f>ROUND(INDEX(CCNL!$G$5:$G$12,MATCH(C16,CCNL!$A$5:$A$12,0))*D16,2)</f>
        <v/>
      </c>
      <c r="K16" s="19">
        <f>ROUND(E16-H16,2)</f>
        <v/>
      </c>
    </row>
    <row r="17">
      <c r="A17" s="15" t="inlineStr">
        <is>
          <t>A013</t>
        </is>
      </c>
      <c r="B17" s="15" t="inlineStr">
        <is>
          <t>A</t>
        </is>
      </c>
      <c r="C17" s="15" t="inlineStr">
        <is>
          <t>4</t>
        </is>
      </c>
      <c r="D17" s="15" t="n">
        <v>0.75</v>
      </c>
      <c r="E17" s="17" t="n">
        <v>0</v>
      </c>
      <c r="F17" s="15" t="b">
        <v>1</v>
      </c>
      <c r="G17" s="19">
        <f>ROUND((INDEX(CCNL!$G$5:$G$12,MATCH(C17,CCNL!$A$5:$A$12,0))-INDEX(CCNL!$F$5:$F$12,MATCH(C17,CCNL!$A$5:$A$12,0)))*D17,2)</f>
        <v/>
      </c>
      <c r="H17" s="19">
        <f>IF(F17,MIN(E17,G17),0)</f>
        <v/>
      </c>
      <c r="I17" s="19">
        <f>ROUND(G17-H17,2)</f>
        <v/>
      </c>
      <c r="J17" s="19">
        <f>ROUND(INDEX(CCNL!$G$5:$G$12,MATCH(C17,CCNL!$A$5:$A$12,0))*D17,2)</f>
        <v/>
      </c>
      <c r="K17" s="19">
        <f>ROUND(E17-H17,2)</f>
        <v/>
      </c>
    </row>
    <row r="18">
      <c r="A18" s="15" t="inlineStr">
        <is>
          <t>A014</t>
        </is>
      </c>
      <c r="B18" s="15" t="inlineStr">
        <is>
          <t>A</t>
        </is>
      </c>
      <c r="C18" s="15" t="inlineStr">
        <is>
          <t>6</t>
        </is>
      </c>
      <c r="D18" s="15" t="n">
        <v>1</v>
      </c>
      <c r="E18" s="17" t="n">
        <v>300</v>
      </c>
      <c r="F18" s="15" t="b">
        <v>1</v>
      </c>
      <c r="G18" s="19">
        <f>ROUND((INDEX(CCNL!$G$5:$G$12,MATCH(C18,CCNL!$A$5:$A$12,0))-INDEX(CCNL!$F$5:$F$12,MATCH(C18,CCNL!$A$5:$A$12,0)))*D18,2)</f>
        <v/>
      </c>
      <c r="H18" s="19">
        <f>IF(F18,MIN(E18,G18),0)</f>
        <v/>
      </c>
      <c r="I18" s="19">
        <f>ROUND(G18-H18,2)</f>
        <v/>
      </c>
      <c r="J18" s="19">
        <f>ROUND(INDEX(CCNL!$G$5:$G$12,MATCH(C18,CCNL!$A$5:$A$12,0))*D18,2)</f>
        <v/>
      </c>
      <c r="K18" s="19">
        <f>ROUND(E18-H18,2)</f>
        <v/>
      </c>
    </row>
    <row r="19">
      <c r="A19" s="15" t="inlineStr">
        <is>
          <t>A015</t>
        </is>
      </c>
      <c r="B19" s="15" t="inlineStr">
        <is>
          <t>A</t>
        </is>
      </c>
      <c r="C19" s="15" t="inlineStr">
        <is>
          <t>3</t>
        </is>
      </c>
      <c r="D19" s="15" t="n">
        <v>0.75</v>
      </c>
      <c r="E19" s="17" t="n">
        <v>112.5</v>
      </c>
      <c r="F19" s="15" t="b">
        <v>1</v>
      </c>
      <c r="G19" s="19">
        <f>ROUND((INDEX(CCNL!$G$5:$G$12,MATCH(C19,CCNL!$A$5:$A$12,0))-INDEX(CCNL!$F$5:$F$12,MATCH(C19,CCNL!$A$5:$A$12,0)))*D19,2)</f>
        <v/>
      </c>
      <c r="H19" s="19">
        <f>IF(F19,MIN(E19,G19),0)</f>
        <v/>
      </c>
      <c r="I19" s="19">
        <f>ROUND(G19-H19,2)</f>
        <v/>
      </c>
      <c r="J19" s="19">
        <f>ROUND(INDEX(CCNL!$G$5:$G$12,MATCH(C19,CCNL!$A$5:$A$12,0))*D19,2)</f>
        <v/>
      </c>
      <c r="K19" s="19">
        <f>ROUND(E19-H19,2)</f>
        <v/>
      </c>
    </row>
    <row r="20">
      <c r="A20" s="15" t="inlineStr">
        <is>
          <t>A016</t>
        </is>
      </c>
      <c r="B20" s="15" t="inlineStr">
        <is>
          <t>A</t>
        </is>
      </c>
      <c r="C20" s="15" t="inlineStr">
        <is>
          <t>4</t>
        </is>
      </c>
      <c r="D20" s="15" t="n">
        <v>1</v>
      </c>
      <c r="E20" s="17" t="n">
        <v>200</v>
      </c>
      <c r="F20" s="15" t="b">
        <v>0</v>
      </c>
      <c r="G20" s="19">
        <f>ROUND((INDEX(CCNL!$G$5:$G$12,MATCH(C20,CCNL!$A$5:$A$12,0))-INDEX(CCNL!$F$5:$F$12,MATCH(C20,CCNL!$A$5:$A$12,0)))*D20,2)</f>
        <v/>
      </c>
      <c r="H20" s="19">
        <f>IF(F20,MIN(E20,G20),0)</f>
        <v/>
      </c>
      <c r="I20" s="19">
        <f>ROUND(G20-H20,2)</f>
        <v/>
      </c>
      <c r="J20" s="19">
        <f>ROUND(INDEX(CCNL!$G$5:$G$12,MATCH(C20,CCNL!$A$5:$A$12,0))*D20,2)</f>
        <v/>
      </c>
      <c r="K20" s="19">
        <f>ROUND(E20-H20,2)</f>
        <v/>
      </c>
    </row>
    <row r="21">
      <c r="A21" s="15" t="inlineStr">
        <is>
          <t>A017</t>
        </is>
      </c>
      <c r="B21" s="15" t="inlineStr">
        <is>
          <t>A</t>
        </is>
      </c>
      <c r="C21" s="15" t="inlineStr">
        <is>
          <t>4</t>
        </is>
      </c>
      <c r="D21" s="15" t="n">
        <v>0.75</v>
      </c>
      <c r="E21" s="17" t="n">
        <v>0</v>
      </c>
      <c r="F21" s="15" t="b">
        <v>0</v>
      </c>
      <c r="G21" s="19">
        <f>ROUND((INDEX(CCNL!$G$5:$G$12,MATCH(C21,CCNL!$A$5:$A$12,0))-INDEX(CCNL!$F$5:$F$12,MATCH(C21,CCNL!$A$5:$A$12,0)))*D21,2)</f>
        <v/>
      </c>
      <c r="H21" s="19">
        <f>IF(F21,MIN(E21,G21),0)</f>
        <v/>
      </c>
      <c r="I21" s="19">
        <f>ROUND(G21-H21,2)</f>
        <v/>
      </c>
      <c r="J21" s="19">
        <f>ROUND(INDEX(CCNL!$G$5:$G$12,MATCH(C21,CCNL!$A$5:$A$12,0))*D21,2)</f>
        <v/>
      </c>
      <c r="K21" s="19">
        <f>ROUND(E21-H21,2)</f>
        <v/>
      </c>
    </row>
    <row r="22">
      <c r="A22" s="15" t="inlineStr">
        <is>
          <t>A018</t>
        </is>
      </c>
      <c r="B22" s="15" t="inlineStr">
        <is>
          <t>A</t>
        </is>
      </c>
      <c r="C22" s="15" t="inlineStr">
        <is>
          <t>3</t>
        </is>
      </c>
      <c r="D22" s="15" t="n">
        <v>1</v>
      </c>
      <c r="E22" s="17" t="n">
        <v>80</v>
      </c>
      <c r="F22" s="15" t="b">
        <v>0</v>
      </c>
      <c r="G22" s="19">
        <f>ROUND((INDEX(CCNL!$G$5:$G$12,MATCH(C22,CCNL!$A$5:$A$12,0))-INDEX(CCNL!$F$5:$F$12,MATCH(C22,CCNL!$A$5:$A$12,0)))*D22,2)</f>
        <v/>
      </c>
      <c r="H22" s="19">
        <f>IF(F22,MIN(E22,G22),0)</f>
        <v/>
      </c>
      <c r="I22" s="19">
        <f>ROUND(G22-H22,2)</f>
        <v/>
      </c>
      <c r="J22" s="19">
        <f>ROUND(INDEX(CCNL!$G$5:$G$12,MATCH(C22,CCNL!$A$5:$A$12,0))*D22,2)</f>
        <v/>
      </c>
      <c r="K22" s="19">
        <f>ROUND(E22-H22,2)</f>
        <v/>
      </c>
    </row>
    <row r="23">
      <c r="A23" s="15" t="inlineStr">
        <is>
          <t>B019</t>
        </is>
      </c>
      <c r="B23" s="15" t="inlineStr">
        <is>
          <t>B</t>
        </is>
      </c>
      <c r="C23" s="15" t="inlineStr">
        <is>
          <t>2</t>
        </is>
      </c>
      <c r="D23" s="15" t="n">
        <v>1</v>
      </c>
      <c r="E23" s="17" t="n">
        <v>0</v>
      </c>
      <c r="F23" s="15" t="b">
        <v>1</v>
      </c>
      <c r="G23" s="19">
        <f>ROUND((INDEX(CCNL!$G$5:$G$12,MATCH(C23,CCNL!$A$5:$A$12,0))-INDEX(CCNL!$F$5:$F$12,MATCH(C23,CCNL!$A$5:$A$12,0)))*D23,2)</f>
        <v/>
      </c>
      <c r="H23" s="19">
        <f>IF(F23,MIN(E23,G23),0)</f>
        <v/>
      </c>
      <c r="I23" s="19">
        <f>ROUND(G23-H23,2)</f>
        <v/>
      </c>
      <c r="J23" s="19">
        <f>ROUND(INDEX(CCNL!$G$5:$G$12,MATCH(C23,CCNL!$A$5:$A$12,0))*D23,2)</f>
        <v/>
      </c>
      <c r="K23" s="19">
        <f>ROUND(E23-H23,2)</f>
        <v/>
      </c>
    </row>
    <row r="24">
      <c r="A24" s="15" t="inlineStr">
        <is>
          <t>B020</t>
        </is>
      </c>
      <c r="B24" s="15" t="inlineStr">
        <is>
          <t>B</t>
        </is>
      </c>
      <c r="C24" s="15" t="inlineStr">
        <is>
          <t>1</t>
        </is>
      </c>
      <c r="D24" s="15" t="n">
        <v>1</v>
      </c>
      <c r="E24" s="17" t="n">
        <v>0</v>
      </c>
      <c r="F24" s="15" t="b">
        <v>0</v>
      </c>
      <c r="G24" s="19">
        <f>ROUND((INDEX(CCNL!$G$5:$G$12,MATCH(C24,CCNL!$A$5:$A$12,0))-INDEX(CCNL!$F$5:$F$12,MATCH(C24,CCNL!$A$5:$A$12,0)))*D24,2)</f>
        <v/>
      </c>
      <c r="H24" s="19">
        <f>IF(F24,MIN(E24,G24),0)</f>
        <v/>
      </c>
      <c r="I24" s="19">
        <f>ROUND(G24-H24,2)</f>
        <v/>
      </c>
      <c r="J24" s="19">
        <f>ROUND(INDEX(CCNL!$G$5:$G$12,MATCH(C24,CCNL!$A$5:$A$12,0))*D24,2)</f>
        <v/>
      </c>
      <c r="K24" s="19">
        <f>ROUND(E24-H24,2)</f>
        <v/>
      </c>
    </row>
    <row r="25">
      <c r="A25" s="15" t="inlineStr">
        <is>
          <t>B021</t>
        </is>
      </c>
      <c r="B25" s="15" t="inlineStr">
        <is>
          <t>B</t>
        </is>
      </c>
      <c r="C25" s="15" t="inlineStr">
        <is>
          <t>4</t>
        </is>
      </c>
      <c r="D25" s="15" t="n">
        <v>1</v>
      </c>
      <c r="E25" s="17" t="n">
        <v>150</v>
      </c>
      <c r="F25" s="15" t="b">
        <v>1</v>
      </c>
      <c r="G25" s="19">
        <f>ROUND((INDEX(CCNL!$G$5:$G$12,MATCH(C25,CCNL!$A$5:$A$12,0))-INDEX(CCNL!$F$5:$F$12,MATCH(C25,CCNL!$A$5:$A$12,0)))*D25,2)</f>
        <v/>
      </c>
      <c r="H25" s="19">
        <f>IF(F25,MIN(E25,G25),0)</f>
        <v/>
      </c>
      <c r="I25" s="19">
        <f>ROUND(G25-H25,2)</f>
        <v/>
      </c>
      <c r="J25" s="19">
        <f>ROUND(INDEX(CCNL!$G$5:$G$12,MATCH(C25,CCNL!$A$5:$A$12,0))*D25,2)</f>
        <v/>
      </c>
      <c r="K25" s="19">
        <f>ROUND(E25-H25,2)</f>
        <v/>
      </c>
    </row>
    <row r="26">
      <c r="A26" s="15" t="inlineStr">
        <is>
          <t>B022</t>
        </is>
      </c>
      <c r="B26" s="15" t="inlineStr">
        <is>
          <t>B</t>
        </is>
      </c>
      <c r="C26" s="15" t="inlineStr">
        <is>
          <t>3</t>
        </is>
      </c>
      <c r="D26" s="15" t="n">
        <v>1</v>
      </c>
      <c r="E26" s="17" t="n">
        <v>0</v>
      </c>
      <c r="F26" s="15" t="b">
        <v>0</v>
      </c>
      <c r="G26" s="19">
        <f>ROUND((INDEX(CCNL!$G$5:$G$12,MATCH(C26,CCNL!$A$5:$A$12,0))-INDEX(CCNL!$F$5:$F$12,MATCH(C26,CCNL!$A$5:$A$12,0)))*D26,2)</f>
        <v/>
      </c>
      <c r="H26" s="19">
        <f>IF(F26,MIN(E26,G26),0)</f>
        <v/>
      </c>
      <c r="I26" s="19">
        <f>ROUND(G26-H26,2)</f>
        <v/>
      </c>
      <c r="J26" s="19">
        <f>ROUND(INDEX(CCNL!$G$5:$G$12,MATCH(C26,CCNL!$A$5:$A$12,0))*D26,2)</f>
        <v/>
      </c>
      <c r="K26" s="19">
        <f>ROUND(E26-H26,2)</f>
        <v/>
      </c>
    </row>
    <row r="27">
      <c r="A27" s="15" t="inlineStr">
        <is>
          <t>B023</t>
        </is>
      </c>
      <c r="B27" s="15" t="inlineStr">
        <is>
          <t>B</t>
        </is>
      </c>
      <c r="C27" s="15" t="inlineStr">
        <is>
          <t>2</t>
        </is>
      </c>
      <c r="D27" s="15" t="n">
        <v>1</v>
      </c>
      <c r="E27" s="17" t="n">
        <v>120</v>
      </c>
      <c r="F27" s="15" t="b">
        <v>1</v>
      </c>
      <c r="G27" s="19">
        <f>ROUND((INDEX(CCNL!$G$5:$G$12,MATCH(C27,CCNL!$A$5:$A$12,0))-INDEX(CCNL!$F$5:$F$12,MATCH(C27,CCNL!$A$5:$A$12,0)))*D27,2)</f>
        <v/>
      </c>
      <c r="H27" s="19">
        <f>IF(F27,MIN(E27,G27),0)</f>
        <v/>
      </c>
      <c r="I27" s="19">
        <f>ROUND(G27-H27,2)</f>
        <v/>
      </c>
      <c r="J27" s="19">
        <f>ROUND(INDEX(CCNL!$G$5:$G$12,MATCH(C27,CCNL!$A$5:$A$12,0))*D27,2)</f>
        <v/>
      </c>
      <c r="K27" s="19">
        <f>ROUND(E27-H27,2)</f>
        <v/>
      </c>
    </row>
    <row r="28">
      <c r="A28" s="15" t="inlineStr">
        <is>
          <t>B024</t>
        </is>
      </c>
      <c r="B28" s="15" t="inlineStr">
        <is>
          <t>B</t>
        </is>
      </c>
      <c r="C28" s="15" t="inlineStr">
        <is>
          <t>5</t>
        </is>
      </c>
      <c r="D28" s="15" t="n">
        <v>1</v>
      </c>
      <c r="E28" s="17" t="n">
        <v>0</v>
      </c>
      <c r="F28" s="15" t="b">
        <v>0</v>
      </c>
      <c r="G28" s="19">
        <f>ROUND((INDEX(CCNL!$G$5:$G$12,MATCH(C28,CCNL!$A$5:$A$12,0))-INDEX(CCNL!$F$5:$F$12,MATCH(C28,CCNL!$A$5:$A$12,0)))*D28,2)</f>
        <v/>
      </c>
      <c r="H28" s="19">
        <f>IF(F28,MIN(E28,G28),0)</f>
        <v/>
      </c>
      <c r="I28" s="19">
        <f>ROUND(G28-H28,2)</f>
        <v/>
      </c>
      <c r="J28" s="19">
        <f>ROUND(INDEX(CCNL!$G$5:$G$12,MATCH(C28,CCNL!$A$5:$A$12,0))*D28,2)</f>
        <v/>
      </c>
      <c r="K28" s="19">
        <f>ROUND(E28-H28,2)</f>
        <v/>
      </c>
    </row>
    <row r="29">
      <c r="A29" s="15" t="inlineStr">
        <is>
          <t>B025</t>
        </is>
      </c>
      <c r="B29" s="15" t="inlineStr">
        <is>
          <t>B</t>
        </is>
      </c>
      <c r="C29" s="15" t="inlineStr">
        <is>
          <t>7</t>
        </is>
      </c>
      <c r="D29" s="15" t="n">
        <v>1</v>
      </c>
      <c r="E29" s="17" t="n">
        <v>0</v>
      </c>
      <c r="F29" s="15" t="b">
        <v>0</v>
      </c>
      <c r="G29" s="19">
        <f>ROUND((INDEX(CCNL!$G$5:$G$12,MATCH(C29,CCNL!$A$5:$A$12,0))-INDEX(CCNL!$F$5:$F$12,MATCH(C29,CCNL!$A$5:$A$12,0)))*D29,2)</f>
        <v/>
      </c>
      <c r="H29" s="19">
        <f>IF(F29,MIN(E29,G29),0)</f>
        <v/>
      </c>
      <c r="I29" s="19">
        <f>ROUND(G29-H29,2)</f>
        <v/>
      </c>
      <c r="J29" s="19">
        <f>ROUND(INDEX(CCNL!$G$5:$G$12,MATCH(C29,CCNL!$A$5:$A$12,0))*D29,2)</f>
        <v/>
      </c>
      <c r="K29" s="19">
        <f>ROUND(E29-H29,2)</f>
        <v/>
      </c>
    </row>
    <row r="30">
      <c r="A30" s="15" t="inlineStr">
        <is>
          <t>B026</t>
        </is>
      </c>
      <c r="B30" s="15" t="inlineStr">
        <is>
          <t>B</t>
        </is>
      </c>
      <c r="C30" s="15" t="inlineStr">
        <is>
          <t>1</t>
        </is>
      </c>
      <c r="D30" s="15" t="n">
        <v>1</v>
      </c>
      <c r="E30" s="17" t="n">
        <v>50</v>
      </c>
      <c r="F30" s="15" t="b">
        <v>0</v>
      </c>
      <c r="G30" s="19">
        <f>ROUND((INDEX(CCNL!$G$5:$G$12,MATCH(C30,CCNL!$A$5:$A$12,0))-INDEX(CCNL!$F$5:$F$12,MATCH(C30,CCNL!$A$5:$A$12,0)))*D30,2)</f>
        <v/>
      </c>
      <c r="H30" s="19">
        <f>IF(F30,MIN(E30,G30),0)</f>
        <v/>
      </c>
      <c r="I30" s="19">
        <f>ROUND(G30-H30,2)</f>
        <v/>
      </c>
      <c r="J30" s="19">
        <f>ROUND(INDEX(CCNL!$G$5:$G$12,MATCH(C30,CCNL!$A$5:$A$12,0))*D30,2)</f>
        <v/>
      </c>
      <c r="K30" s="19">
        <f>ROUND(E30-H30,2)</f>
        <v/>
      </c>
    </row>
    <row r="31">
      <c r="A31" s="15" t="inlineStr">
        <is>
          <t>B027</t>
        </is>
      </c>
      <c r="B31" s="15" t="inlineStr">
        <is>
          <t>B</t>
        </is>
      </c>
      <c r="C31" s="15" t="inlineStr">
        <is>
          <t>3</t>
        </is>
      </c>
      <c r="D31" s="15" t="n">
        <v>0.75</v>
      </c>
      <c r="E31" s="17" t="n">
        <v>90</v>
      </c>
      <c r="F31" s="15" t="b">
        <v>0</v>
      </c>
      <c r="G31" s="19">
        <f>ROUND((INDEX(CCNL!$G$5:$G$12,MATCH(C31,CCNL!$A$5:$A$12,0))-INDEX(CCNL!$F$5:$F$12,MATCH(C31,CCNL!$A$5:$A$12,0)))*D31,2)</f>
        <v/>
      </c>
      <c r="H31" s="19">
        <f>IF(F31,MIN(E31,G31),0)</f>
        <v/>
      </c>
      <c r="I31" s="19">
        <f>ROUND(G31-H31,2)</f>
        <v/>
      </c>
      <c r="J31" s="19">
        <f>ROUND(INDEX(CCNL!$G$5:$G$12,MATCH(C31,CCNL!$A$5:$A$12,0))*D31,2)</f>
        <v/>
      </c>
      <c r="K31" s="19">
        <f>ROUND(E31-H31,2)</f>
        <v/>
      </c>
    </row>
    <row r="32">
      <c r="A32" s="15" t="inlineStr">
        <is>
          <t>B028</t>
        </is>
      </c>
      <c r="B32" s="15" t="inlineStr">
        <is>
          <t>B</t>
        </is>
      </c>
      <c r="C32" s="15" t="inlineStr">
        <is>
          <t>4</t>
        </is>
      </c>
      <c r="D32" s="15" t="n">
        <v>1</v>
      </c>
      <c r="E32" s="17" t="n">
        <v>120</v>
      </c>
      <c r="F32" s="15" t="b">
        <v>1</v>
      </c>
      <c r="G32" s="19">
        <f>ROUND((INDEX(CCNL!$G$5:$G$12,MATCH(C32,CCNL!$A$5:$A$12,0))-INDEX(CCNL!$F$5:$F$12,MATCH(C32,CCNL!$A$5:$A$12,0)))*D32,2)</f>
        <v/>
      </c>
      <c r="H32" s="19">
        <f>IF(F32,MIN(E32,G32),0)</f>
        <v/>
      </c>
      <c r="I32" s="19">
        <f>ROUND(G32-H32,2)</f>
        <v/>
      </c>
      <c r="J32" s="19">
        <f>ROUND(INDEX(CCNL!$G$5:$G$12,MATCH(C32,CCNL!$A$5:$A$12,0))*D32,2)</f>
        <v/>
      </c>
      <c r="K32" s="19">
        <f>ROUND(E32-H32,2)</f>
        <v/>
      </c>
    </row>
    <row r="33">
      <c r="A33" s="15" t="inlineStr">
        <is>
          <t>B029</t>
        </is>
      </c>
      <c r="B33" s="15" t="inlineStr">
        <is>
          <t>B</t>
        </is>
      </c>
      <c r="C33" s="15" t="inlineStr">
        <is>
          <t>5</t>
        </is>
      </c>
      <c r="D33" s="15" t="n">
        <v>0.5</v>
      </c>
      <c r="E33" s="17" t="n">
        <v>0</v>
      </c>
      <c r="F33" s="15" t="b">
        <v>1</v>
      </c>
      <c r="G33" s="19">
        <f>ROUND((INDEX(CCNL!$G$5:$G$12,MATCH(C33,CCNL!$A$5:$A$12,0))-INDEX(CCNL!$F$5:$F$12,MATCH(C33,CCNL!$A$5:$A$12,0)))*D33,2)</f>
        <v/>
      </c>
      <c r="H33" s="19">
        <f>IF(F33,MIN(E33,G33),0)</f>
        <v/>
      </c>
      <c r="I33" s="19">
        <f>ROUND(G33-H33,2)</f>
        <v/>
      </c>
      <c r="J33" s="19">
        <f>ROUND(INDEX(CCNL!$G$5:$G$12,MATCH(C33,CCNL!$A$5:$A$12,0))*D33,2)</f>
        <v/>
      </c>
      <c r="K33" s="19">
        <f>ROUND(E33-H33,2)</f>
        <v/>
      </c>
    </row>
    <row r="34">
      <c r="A34" s="15" t="inlineStr">
        <is>
          <t>B030</t>
        </is>
      </c>
      <c r="B34" s="15" t="inlineStr">
        <is>
          <t>B</t>
        </is>
      </c>
      <c r="C34" s="15" t="inlineStr">
        <is>
          <t>7</t>
        </is>
      </c>
      <c r="D34" s="15" t="n">
        <v>1</v>
      </c>
      <c r="E34" s="17" t="n">
        <v>0</v>
      </c>
      <c r="F34" s="15" t="b">
        <v>0</v>
      </c>
      <c r="G34" s="19">
        <f>ROUND((INDEX(CCNL!$G$5:$G$12,MATCH(C34,CCNL!$A$5:$A$12,0))-INDEX(CCNL!$F$5:$F$12,MATCH(C34,CCNL!$A$5:$A$12,0)))*D34,2)</f>
        <v/>
      </c>
      <c r="H34" s="19">
        <f>IF(F34,MIN(E34,G34),0)</f>
        <v/>
      </c>
      <c r="I34" s="19">
        <f>ROUND(G34-H34,2)</f>
        <v/>
      </c>
      <c r="J34" s="19">
        <f>ROUND(INDEX(CCNL!$G$5:$G$12,MATCH(C34,CCNL!$A$5:$A$12,0))*D34,2)</f>
        <v/>
      </c>
      <c r="K34" s="19">
        <f>ROUND(E34-H34,2)</f>
        <v/>
      </c>
    </row>
    <row r="35">
      <c r="A35" s="15" t="inlineStr">
        <is>
          <t>B031</t>
        </is>
      </c>
      <c r="B35" s="15" t="inlineStr">
        <is>
          <t>B</t>
        </is>
      </c>
      <c r="C35" s="15" t="inlineStr">
        <is>
          <t>4</t>
        </is>
      </c>
      <c r="D35" s="15" t="n">
        <v>0.5</v>
      </c>
      <c r="E35" s="17" t="n">
        <v>25</v>
      </c>
      <c r="F35" s="15" t="b">
        <v>0</v>
      </c>
      <c r="G35" s="19">
        <f>ROUND((INDEX(CCNL!$G$5:$G$12,MATCH(C35,CCNL!$A$5:$A$12,0))-INDEX(CCNL!$F$5:$F$12,MATCH(C35,CCNL!$A$5:$A$12,0)))*D35,2)</f>
        <v/>
      </c>
      <c r="H35" s="19">
        <f>IF(F35,MIN(E35,G35),0)</f>
        <v/>
      </c>
      <c r="I35" s="19">
        <f>ROUND(G35-H35,2)</f>
        <v/>
      </c>
      <c r="J35" s="19">
        <f>ROUND(INDEX(CCNL!$G$5:$G$12,MATCH(C35,CCNL!$A$5:$A$12,0))*D35,2)</f>
        <v/>
      </c>
      <c r="K35" s="19">
        <f>ROUND(E35-H35,2)</f>
        <v/>
      </c>
    </row>
    <row r="36">
      <c r="A36" s="15" t="inlineStr">
        <is>
          <t>B032</t>
        </is>
      </c>
      <c r="B36" s="15" t="inlineStr">
        <is>
          <t>B</t>
        </is>
      </c>
      <c r="C36" s="15" t="inlineStr">
        <is>
          <t>4</t>
        </is>
      </c>
      <c r="D36" s="15" t="n">
        <v>1</v>
      </c>
      <c r="E36" s="17" t="n">
        <v>0</v>
      </c>
      <c r="F36" s="15" t="b">
        <v>0</v>
      </c>
      <c r="G36" s="19">
        <f>ROUND((INDEX(CCNL!$G$5:$G$12,MATCH(C36,CCNL!$A$5:$A$12,0))-INDEX(CCNL!$F$5:$F$12,MATCH(C36,CCNL!$A$5:$A$12,0)))*D36,2)</f>
        <v/>
      </c>
      <c r="H36" s="19">
        <f>IF(F36,MIN(E36,G36),0)</f>
        <v/>
      </c>
      <c r="I36" s="19">
        <f>ROUND(G36-H36,2)</f>
        <v/>
      </c>
      <c r="J36" s="19">
        <f>ROUND(INDEX(CCNL!$G$5:$G$12,MATCH(C36,CCNL!$A$5:$A$12,0))*D36,2)</f>
        <v/>
      </c>
      <c r="K36" s="19">
        <f>ROUND(E36-H36,2)</f>
        <v/>
      </c>
    </row>
    <row r="37">
      <c r="A37" s="15" t="inlineStr">
        <is>
          <t>B033</t>
        </is>
      </c>
      <c r="B37" s="15" t="inlineStr">
        <is>
          <t>B</t>
        </is>
      </c>
      <c r="C37" s="15" t="inlineStr">
        <is>
          <t>3</t>
        </is>
      </c>
      <c r="D37" s="15" t="n">
        <v>1</v>
      </c>
      <c r="E37" s="17" t="n">
        <v>120</v>
      </c>
      <c r="F37" s="15" t="b">
        <v>1</v>
      </c>
      <c r="G37" s="19">
        <f>ROUND((INDEX(CCNL!$G$5:$G$12,MATCH(C37,CCNL!$A$5:$A$12,0))-INDEX(CCNL!$F$5:$F$12,MATCH(C37,CCNL!$A$5:$A$12,0)))*D37,2)</f>
        <v/>
      </c>
      <c r="H37" s="19">
        <f>IF(F37,MIN(E37,G37),0)</f>
        <v/>
      </c>
      <c r="I37" s="19">
        <f>ROUND(G37-H37,2)</f>
        <v/>
      </c>
      <c r="J37" s="19">
        <f>ROUND(INDEX(CCNL!$G$5:$G$12,MATCH(C37,CCNL!$A$5:$A$12,0))*D37,2)</f>
        <v/>
      </c>
      <c r="K37" s="19">
        <f>ROUND(E37-H37,2)</f>
        <v/>
      </c>
    </row>
    <row r="38">
      <c r="A38" s="15" t="inlineStr">
        <is>
          <t>B034</t>
        </is>
      </c>
      <c r="B38" s="15" t="inlineStr">
        <is>
          <t>B</t>
        </is>
      </c>
      <c r="C38" s="15" t="inlineStr">
        <is>
          <t>4</t>
        </is>
      </c>
      <c r="D38" s="15" t="n">
        <v>0.75</v>
      </c>
      <c r="E38" s="17" t="n">
        <v>150</v>
      </c>
      <c r="F38" s="15" t="b">
        <v>0</v>
      </c>
      <c r="G38" s="19">
        <f>ROUND((INDEX(CCNL!$G$5:$G$12,MATCH(C38,CCNL!$A$5:$A$12,0))-INDEX(CCNL!$F$5:$F$12,MATCH(C38,CCNL!$A$5:$A$12,0)))*D38,2)</f>
        <v/>
      </c>
      <c r="H38" s="19">
        <f>IF(F38,MIN(E38,G38),0)</f>
        <v/>
      </c>
      <c r="I38" s="19">
        <f>ROUND(G38-H38,2)</f>
        <v/>
      </c>
      <c r="J38" s="19">
        <f>ROUND(INDEX(CCNL!$G$5:$G$12,MATCH(C38,CCNL!$A$5:$A$12,0))*D38,2)</f>
        <v/>
      </c>
      <c r="K38" s="19">
        <f>ROUND(E38-H38,2)</f>
        <v/>
      </c>
    </row>
    <row r="39">
      <c r="A39" s="15" t="inlineStr">
        <is>
          <t>B035</t>
        </is>
      </c>
      <c r="B39" s="15" t="inlineStr">
        <is>
          <t>B</t>
        </is>
      </c>
      <c r="C39" s="15" t="inlineStr">
        <is>
          <t>4</t>
        </is>
      </c>
      <c r="D39" s="15" t="n">
        <v>0.5</v>
      </c>
      <c r="E39" s="17" t="n">
        <v>100</v>
      </c>
      <c r="F39" s="15" t="b">
        <v>0</v>
      </c>
      <c r="G39" s="19">
        <f>ROUND((INDEX(CCNL!$G$5:$G$12,MATCH(C39,CCNL!$A$5:$A$12,0))-INDEX(CCNL!$F$5:$F$12,MATCH(C39,CCNL!$A$5:$A$12,0)))*D39,2)</f>
        <v/>
      </c>
      <c r="H39" s="19">
        <f>IF(F39,MIN(E39,G39),0)</f>
        <v/>
      </c>
      <c r="I39" s="19">
        <f>ROUND(G39-H39,2)</f>
        <v/>
      </c>
      <c r="J39" s="19">
        <f>ROUND(INDEX(CCNL!$G$5:$G$12,MATCH(C39,CCNL!$A$5:$A$12,0))*D39,2)</f>
        <v/>
      </c>
      <c r="K39" s="19">
        <f>ROUND(E39-H39,2)</f>
        <v/>
      </c>
    </row>
    <row r="40">
      <c r="A40" s="15" t="inlineStr">
        <is>
          <t>B036</t>
        </is>
      </c>
      <c r="B40" s="15" t="inlineStr">
        <is>
          <t>B</t>
        </is>
      </c>
      <c r="C40" s="15" t="inlineStr">
        <is>
          <t>3</t>
        </is>
      </c>
      <c r="D40" s="15" t="n">
        <v>0.75</v>
      </c>
      <c r="E40" s="17" t="n">
        <v>0</v>
      </c>
      <c r="F40" s="15" t="b">
        <v>0</v>
      </c>
      <c r="G40" s="19">
        <f>ROUND((INDEX(CCNL!$G$5:$G$12,MATCH(C40,CCNL!$A$5:$A$12,0))-INDEX(CCNL!$F$5:$F$12,MATCH(C40,CCNL!$A$5:$A$12,0)))*D40,2)</f>
        <v/>
      </c>
      <c r="H40" s="19">
        <f>IF(F40,MIN(E40,G40),0)</f>
        <v/>
      </c>
      <c r="I40" s="19">
        <f>ROUND(G40-H40,2)</f>
        <v/>
      </c>
      <c r="J40" s="19">
        <f>ROUND(INDEX(CCNL!$G$5:$G$12,MATCH(C40,CCNL!$A$5:$A$12,0))*D40,2)</f>
        <v/>
      </c>
      <c r="K40" s="19">
        <f>ROUND(E40-H40,2)</f>
        <v/>
      </c>
    </row>
    <row r="41">
      <c r="A41" s="15" t="inlineStr">
        <is>
          <t>B037</t>
        </is>
      </c>
      <c r="B41" s="15" t="inlineStr">
        <is>
          <t>B</t>
        </is>
      </c>
      <c r="C41" s="15" t="inlineStr">
        <is>
          <t>7</t>
        </is>
      </c>
      <c r="D41" s="15" t="n">
        <v>1</v>
      </c>
      <c r="E41" s="17" t="n">
        <v>0</v>
      </c>
      <c r="F41" s="15" t="b">
        <v>1</v>
      </c>
      <c r="G41" s="19">
        <f>ROUND((INDEX(CCNL!$G$5:$G$12,MATCH(C41,CCNL!$A$5:$A$12,0))-INDEX(CCNL!$F$5:$F$12,MATCH(C41,CCNL!$A$5:$A$12,0)))*D41,2)</f>
        <v/>
      </c>
      <c r="H41" s="19">
        <f>IF(F41,MIN(E41,G41),0)</f>
        <v/>
      </c>
      <c r="I41" s="19">
        <f>ROUND(G41-H41,2)</f>
        <v/>
      </c>
      <c r="J41" s="19">
        <f>ROUND(INDEX(CCNL!$G$5:$G$12,MATCH(C41,CCNL!$A$5:$A$12,0))*D41,2)</f>
        <v/>
      </c>
      <c r="K41" s="19">
        <f>ROUND(E41-H41,2)</f>
        <v/>
      </c>
    </row>
    <row r="42">
      <c r="A42" s="15" t="inlineStr">
        <is>
          <t>B038</t>
        </is>
      </c>
      <c r="B42" s="15" t="inlineStr">
        <is>
          <t>B</t>
        </is>
      </c>
      <c r="C42" s="15" t="inlineStr">
        <is>
          <t>4</t>
        </is>
      </c>
      <c r="D42" s="15" t="n">
        <v>0.75</v>
      </c>
      <c r="E42" s="17" t="n">
        <v>225</v>
      </c>
      <c r="F42" s="15" t="b">
        <v>0</v>
      </c>
      <c r="G42" s="19">
        <f>ROUND((INDEX(CCNL!$G$5:$G$12,MATCH(C42,CCNL!$A$5:$A$12,0))-INDEX(CCNL!$F$5:$F$12,MATCH(C42,CCNL!$A$5:$A$12,0)))*D42,2)</f>
        <v/>
      </c>
      <c r="H42" s="19">
        <f>IF(F42,MIN(E42,G42),0)</f>
        <v/>
      </c>
      <c r="I42" s="19">
        <f>ROUND(G42-H42,2)</f>
        <v/>
      </c>
      <c r="J42" s="19">
        <f>ROUND(INDEX(CCNL!$G$5:$G$12,MATCH(C42,CCNL!$A$5:$A$12,0))*D42,2)</f>
        <v/>
      </c>
      <c r="K42" s="19">
        <f>ROUND(E42-H42,2)</f>
        <v/>
      </c>
    </row>
    <row r="43">
      <c r="A43" s="15" t="inlineStr">
        <is>
          <t>B039</t>
        </is>
      </c>
      <c r="B43" s="15" t="inlineStr">
        <is>
          <t>B</t>
        </is>
      </c>
      <c r="C43" s="15" t="inlineStr">
        <is>
          <t>4</t>
        </is>
      </c>
      <c r="D43" s="15" t="n">
        <v>1</v>
      </c>
      <c r="E43" s="17" t="n">
        <v>200</v>
      </c>
      <c r="F43" s="15" t="b">
        <v>1</v>
      </c>
      <c r="G43" s="19">
        <f>ROUND((INDEX(CCNL!$G$5:$G$12,MATCH(C43,CCNL!$A$5:$A$12,0))-INDEX(CCNL!$F$5:$F$12,MATCH(C43,CCNL!$A$5:$A$12,0)))*D43,2)</f>
        <v/>
      </c>
      <c r="H43" s="19">
        <f>IF(F43,MIN(E43,G43),0)</f>
        <v/>
      </c>
      <c r="I43" s="19">
        <f>ROUND(G43-H43,2)</f>
        <v/>
      </c>
      <c r="J43" s="19">
        <f>ROUND(INDEX(CCNL!$G$5:$G$12,MATCH(C43,CCNL!$A$5:$A$12,0))*D43,2)</f>
        <v/>
      </c>
      <c r="K43" s="19">
        <f>ROUND(E43-H43,2)</f>
        <v/>
      </c>
    </row>
    <row r="44">
      <c r="A44" s="15" t="inlineStr">
        <is>
          <t>B040</t>
        </is>
      </c>
      <c r="B44" s="15" t="inlineStr">
        <is>
          <t>B</t>
        </is>
      </c>
      <c r="C44" s="15" t="inlineStr">
        <is>
          <t>4</t>
        </is>
      </c>
      <c r="D44" s="15" t="n">
        <v>1</v>
      </c>
      <c r="E44" s="17" t="n">
        <v>120</v>
      </c>
      <c r="F44" s="15" t="b">
        <v>0</v>
      </c>
      <c r="G44" s="19">
        <f>ROUND((INDEX(CCNL!$G$5:$G$12,MATCH(C44,CCNL!$A$5:$A$12,0))-INDEX(CCNL!$F$5:$F$12,MATCH(C44,CCNL!$A$5:$A$12,0)))*D44,2)</f>
        <v/>
      </c>
      <c r="H44" s="19">
        <f>IF(F44,MIN(E44,G44),0)</f>
        <v/>
      </c>
      <c r="I44" s="19">
        <f>ROUND(G44-H44,2)</f>
        <v/>
      </c>
      <c r="J44" s="19">
        <f>ROUND(INDEX(CCNL!$G$5:$G$12,MATCH(C44,CCNL!$A$5:$A$12,0))*D44,2)</f>
        <v/>
      </c>
      <c r="K44" s="19">
        <f>ROUND(E44-H44,2)</f>
        <v/>
      </c>
    </row>
    <row r="45">
      <c r="A45" s="15" t="inlineStr">
        <is>
          <t>B041</t>
        </is>
      </c>
      <c r="B45" s="15" t="inlineStr">
        <is>
          <t>B</t>
        </is>
      </c>
      <c r="C45" s="15" t="inlineStr">
        <is>
          <t>2</t>
        </is>
      </c>
      <c r="D45" s="15" t="n">
        <v>1</v>
      </c>
      <c r="E45" s="17" t="n">
        <v>300</v>
      </c>
      <c r="F45" s="15" t="b">
        <v>0</v>
      </c>
      <c r="G45" s="19">
        <f>ROUND((INDEX(CCNL!$G$5:$G$12,MATCH(C45,CCNL!$A$5:$A$12,0))-INDEX(CCNL!$F$5:$F$12,MATCH(C45,CCNL!$A$5:$A$12,0)))*D45,2)</f>
        <v/>
      </c>
      <c r="H45" s="19">
        <f>IF(F45,MIN(E45,G45),0)</f>
        <v/>
      </c>
      <c r="I45" s="19">
        <f>ROUND(G45-H45,2)</f>
        <v/>
      </c>
      <c r="J45" s="19">
        <f>ROUND(INDEX(CCNL!$G$5:$G$12,MATCH(C45,CCNL!$A$5:$A$12,0))*D45,2)</f>
        <v/>
      </c>
      <c r="K45" s="19">
        <f>ROUND(E45-H45,2)</f>
        <v/>
      </c>
    </row>
    <row r="46">
      <c r="A46" s="15" t="inlineStr">
        <is>
          <t>B042</t>
        </is>
      </c>
      <c r="B46" s="15" t="inlineStr">
        <is>
          <t>B</t>
        </is>
      </c>
      <c r="C46" s="15" t="inlineStr">
        <is>
          <t>5</t>
        </is>
      </c>
      <c r="D46" s="15" t="n">
        <v>1</v>
      </c>
      <c r="E46" s="17" t="n">
        <v>120</v>
      </c>
      <c r="F46" s="15" t="b">
        <v>1</v>
      </c>
      <c r="G46" s="19">
        <f>ROUND((INDEX(CCNL!$G$5:$G$12,MATCH(C46,CCNL!$A$5:$A$12,0))-INDEX(CCNL!$F$5:$F$12,MATCH(C46,CCNL!$A$5:$A$12,0)))*D46,2)</f>
        <v/>
      </c>
      <c r="H46" s="19">
        <f>IF(F46,MIN(E46,G46),0)</f>
        <v/>
      </c>
      <c r="I46" s="19">
        <f>ROUND(G46-H46,2)</f>
        <v/>
      </c>
      <c r="J46" s="19">
        <f>ROUND(INDEX(CCNL!$G$5:$G$12,MATCH(C46,CCNL!$A$5:$A$12,0))*D46,2)</f>
        <v/>
      </c>
      <c r="K46" s="19">
        <f>ROUND(E46-H46,2)</f>
        <v/>
      </c>
    </row>
    <row r="47">
      <c r="A47" s="15" t="inlineStr">
        <is>
          <t>B043</t>
        </is>
      </c>
      <c r="B47" s="15" t="inlineStr">
        <is>
          <t>B</t>
        </is>
      </c>
      <c r="C47" s="15" t="inlineStr">
        <is>
          <t>5</t>
        </is>
      </c>
      <c r="D47" s="15" t="n">
        <v>1</v>
      </c>
      <c r="E47" s="17" t="n">
        <v>80</v>
      </c>
      <c r="F47" s="15" t="b">
        <v>1</v>
      </c>
      <c r="G47" s="19">
        <f>ROUND((INDEX(CCNL!$G$5:$G$12,MATCH(C47,CCNL!$A$5:$A$12,0))-INDEX(CCNL!$F$5:$F$12,MATCH(C47,CCNL!$A$5:$A$12,0)))*D47,2)</f>
        <v/>
      </c>
      <c r="H47" s="19">
        <f>IF(F47,MIN(E47,G47),0)</f>
        <v/>
      </c>
      <c r="I47" s="19">
        <f>ROUND(G47-H47,2)</f>
        <v/>
      </c>
      <c r="J47" s="19">
        <f>ROUND(INDEX(CCNL!$G$5:$G$12,MATCH(C47,CCNL!$A$5:$A$12,0))*D47,2)</f>
        <v/>
      </c>
      <c r="K47" s="19">
        <f>ROUND(E47-H47,2)</f>
        <v/>
      </c>
    </row>
    <row r="48">
      <c r="A48" s="15" t="inlineStr">
        <is>
          <t>B044</t>
        </is>
      </c>
      <c r="B48" s="15" t="inlineStr">
        <is>
          <t>B</t>
        </is>
      </c>
      <c r="C48" s="15" t="inlineStr">
        <is>
          <t>2</t>
        </is>
      </c>
      <c r="D48" s="15" t="n">
        <v>1</v>
      </c>
      <c r="E48" s="17" t="n">
        <v>300</v>
      </c>
      <c r="F48" s="15" t="b">
        <v>1</v>
      </c>
      <c r="G48" s="19">
        <f>ROUND((INDEX(CCNL!$G$5:$G$12,MATCH(C48,CCNL!$A$5:$A$12,0))-INDEX(CCNL!$F$5:$F$12,MATCH(C48,CCNL!$A$5:$A$12,0)))*D48,2)</f>
        <v/>
      </c>
      <c r="H48" s="19">
        <f>IF(F48,MIN(E48,G48),0)</f>
        <v/>
      </c>
      <c r="I48" s="19">
        <f>ROUND(G48-H48,2)</f>
        <v/>
      </c>
      <c r="J48" s="19">
        <f>ROUND(INDEX(CCNL!$G$5:$G$12,MATCH(C48,CCNL!$A$5:$A$12,0))*D48,2)</f>
        <v/>
      </c>
      <c r="K48" s="19">
        <f>ROUND(E48-H48,2)</f>
        <v/>
      </c>
    </row>
    <row r="49">
      <c r="A49" s="15" t="inlineStr">
        <is>
          <t>B045</t>
        </is>
      </c>
      <c r="B49" s="15" t="inlineStr">
        <is>
          <t>B</t>
        </is>
      </c>
      <c r="C49" s="15" t="inlineStr">
        <is>
          <t>6</t>
        </is>
      </c>
      <c r="D49" s="15" t="n">
        <v>0.5</v>
      </c>
      <c r="E49" s="17" t="n">
        <v>0</v>
      </c>
      <c r="F49" s="15" t="b">
        <v>1</v>
      </c>
      <c r="G49" s="19">
        <f>ROUND((INDEX(CCNL!$G$5:$G$12,MATCH(C49,CCNL!$A$5:$A$12,0))-INDEX(CCNL!$F$5:$F$12,MATCH(C49,CCNL!$A$5:$A$12,0)))*D49,2)</f>
        <v/>
      </c>
      <c r="H49" s="19">
        <f>IF(F49,MIN(E49,G49),0)</f>
        <v/>
      </c>
      <c r="I49" s="19">
        <f>ROUND(G49-H49,2)</f>
        <v/>
      </c>
      <c r="J49" s="19">
        <f>ROUND(INDEX(CCNL!$G$5:$G$12,MATCH(C49,CCNL!$A$5:$A$12,0))*D49,2)</f>
        <v/>
      </c>
      <c r="K49" s="19">
        <f>ROUND(E49-H49,2)</f>
        <v/>
      </c>
    </row>
    <row r="50">
      <c r="A50" s="15" t="inlineStr">
        <is>
          <t>B046</t>
        </is>
      </c>
      <c r="B50" s="15" t="inlineStr">
        <is>
          <t>B</t>
        </is>
      </c>
      <c r="C50" s="15" t="inlineStr">
        <is>
          <t>6</t>
        </is>
      </c>
      <c r="D50" s="15" t="n">
        <v>1</v>
      </c>
      <c r="E50" s="17" t="n">
        <v>150</v>
      </c>
      <c r="F50" s="15" t="b">
        <v>0</v>
      </c>
      <c r="G50" s="19">
        <f>ROUND((INDEX(CCNL!$G$5:$G$12,MATCH(C50,CCNL!$A$5:$A$12,0))-INDEX(CCNL!$F$5:$F$12,MATCH(C50,CCNL!$A$5:$A$12,0)))*D50,2)</f>
        <v/>
      </c>
      <c r="H50" s="19">
        <f>IF(F50,MIN(E50,G50),0)</f>
        <v/>
      </c>
      <c r="I50" s="19">
        <f>ROUND(G50-H50,2)</f>
        <v/>
      </c>
      <c r="J50" s="19">
        <f>ROUND(INDEX(CCNL!$G$5:$G$12,MATCH(C50,CCNL!$A$5:$A$12,0))*D50,2)</f>
        <v/>
      </c>
      <c r="K50" s="19">
        <f>ROUND(E50-H50,2)</f>
        <v/>
      </c>
    </row>
    <row r="51">
      <c r="A51" s="15" t="inlineStr">
        <is>
          <t>B047</t>
        </is>
      </c>
      <c r="B51" s="15" t="inlineStr">
        <is>
          <t>B</t>
        </is>
      </c>
      <c r="C51" s="15" t="inlineStr">
        <is>
          <t>1</t>
        </is>
      </c>
      <c r="D51" s="15" t="n">
        <v>1</v>
      </c>
      <c r="E51" s="17" t="n">
        <v>80</v>
      </c>
      <c r="F51" s="15" t="b">
        <v>1</v>
      </c>
      <c r="G51" s="19">
        <f>ROUND((INDEX(CCNL!$G$5:$G$12,MATCH(C51,CCNL!$A$5:$A$12,0))-INDEX(CCNL!$F$5:$F$12,MATCH(C51,CCNL!$A$5:$A$12,0)))*D51,2)</f>
        <v/>
      </c>
      <c r="H51" s="19">
        <f>IF(F51,MIN(E51,G51),0)</f>
        <v/>
      </c>
      <c r="I51" s="19">
        <f>ROUND(G51-H51,2)</f>
        <v/>
      </c>
      <c r="J51" s="19">
        <f>ROUND(INDEX(CCNL!$G$5:$G$12,MATCH(C51,CCNL!$A$5:$A$12,0))*D51,2)</f>
        <v/>
      </c>
      <c r="K51" s="19">
        <f>ROUND(E51-H51,2)</f>
        <v/>
      </c>
    </row>
    <row r="52">
      <c r="A52" s="15" t="inlineStr">
        <is>
          <t>B048</t>
        </is>
      </c>
      <c r="B52" s="15" t="inlineStr">
        <is>
          <t>B</t>
        </is>
      </c>
      <c r="C52" s="15" t="inlineStr">
        <is>
          <t>4</t>
        </is>
      </c>
      <c r="D52" s="15" t="n">
        <v>0.5</v>
      </c>
      <c r="E52" s="17" t="n">
        <v>0</v>
      </c>
      <c r="F52" s="15" t="b">
        <v>1</v>
      </c>
      <c r="G52" s="19">
        <f>ROUND((INDEX(CCNL!$G$5:$G$12,MATCH(C52,CCNL!$A$5:$A$12,0))-INDEX(CCNL!$F$5:$F$12,MATCH(C52,CCNL!$A$5:$A$12,0)))*D52,2)</f>
        <v/>
      </c>
      <c r="H52" s="19">
        <f>IF(F52,MIN(E52,G52),0)</f>
        <v/>
      </c>
      <c r="I52" s="19">
        <f>ROUND(G52-H52,2)</f>
        <v/>
      </c>
      <c r="J52" s="19">
        <f>ROUND(INDEX(CCNL!$G$5:$G$12,MATCH(C52,CCNL!$A$5:$A$12,0))*D52,2)</f>
        <v/>
      </c>
      <c r="K52" s="19">
        <f>ROUND(E52-H52,2)</f>
        <v/>
      </c>
    </row>
    <row r="53">
      <c r="A53" s="15" t="inlineStr">
        <is>
          <t>B049</t>
        </is>
      </c>
      <c r="B53" s="15" t="inlineStr">
        <is>
          <t>B</t>
        </is>
      </c>
      <c r="C53" s="15" t="inlineStr">
        <is>
          <t>Quadri</t>
        </is>
      </c>
      <c r="D53" s="15" t="n">
        <v>1</v>
      </c>
      <c r="E53" s="17" t="n">
        <v>0</v>
      </c>
      <c r="F53" s="15" t="b">
        <v>1</v>
      </c>
      <c r="G53" s="19">
        <f>ROUND((INDEX(CCNL!$G$5:$G$12,MATCH(C53,CCNL!$A$5:$A$12,0))-INDEX(CCNL!$F$5:$F$12,MATCH(C53,CCNL!$A$5:$A$12,0)))*D53,2)</f>
        <v/>
      </c>
      <c r="H53" s="19">
        <f>IF(F53,MIN(E53,G53),0)</f>
        <v/>
      </c>
      <c r="I53" s="19">
        <f>ROUND(G53-H53,2)</f>
        <v/>
      </c>
      <c r="J53" s="19">
        <f>ROUND(INDEX(CCNL!$G$5:$G$12,MATCH(C53,CCNL!$A$5:$A$12,0))*D53,2)</f>
        <v/>
      </c>
      <c r="K53" s="19">
        <f>ROUND(E53-H53,2)</f>
        <v/>
      </c>
    </row>
    <row r="54">
      <c r="A54" s="15" t="inlineStr">
        <is>
          <t>B050</t>
        </is>
      </c>
      <c r="B54" s="15" t="inlineStr">
        <is>
          <t>B</t>
        </is>
      </c>
      <c r="C54" s="15" t="inlineStr">
        <is>
          <t>5</t>
        </is>
      </c>
      <c r="D54" s="15" t="n">
        <v>1</v>
      </c>
      <c r="E54" s="17" t="n">
        <v>0</v>
      </c>
      <c r="F54" s="15" t="b">
        <v>1</v>
      </c>
      <c r="G54" s="19">
        <f>ROUND((INDEX(CCNL!$G$5:$G$12,MATCH(C54,CCNL!$A$5:$A$12,0))-INDEX(CCNL!$F$5:$F$12,MATCH(C54,CCNL!$A$5:$A$12,0)))*D54,2)</f>
        <v/>
      </c>
      <c r="H54" s="19">
        <f>IF(F54,MIN(E54,G54),0)</f>
        <v/>
      </c>
      <c r="I54" s="19">
        <f>ROUND(G54-H54,2)</f>
        <v/>
      </c>
      <c r="J54" s="19">
        <f>ROUND(INDEX(CCNL!$G$5:$G$12,MATCH(C54,CCNL!$A$5:$A$12,0))*D54,2)</f>
        <v/>
      </c>
      <c r="K54" s="19">
        <f>ROUND(E54-H54,2)</f>
        <v/>
      </c>
    </row>
    <row r="55">
      <c r="A55" s="15" t="inlineStr">
        <is>
          <t>B051</t>
        </is>
      </c>
      <c r="B55" s="15" t="inlineStr">
        <is>
          <t>B</t>
        </is>
      </c>
      <c r="C55" s="15" t="inlineStr">
        <is>
          <t>7</t>
        </is>
      </c>
      <c r="D55" s="15" t="n">
        <v>1</v>
      </c>
      <c r="E55" s="17" t="n">
        <v>200</v>
      </c>
      <c r="F55" s="15" t="b">
        <v>1</v>
      </c>
      <c r="G55" s="19">
        <f>ROUND((INDEX(CCNL!$G$5:$G$12,MATCH(C55,CCNL!$A$5:$A$12,0))-INDEX(CCNL!$F$5:$F$12,MATCH(C55,CCNL!$A$5:$A$12,0)))*D55,2)</f>
        <v/>
      </c>
      <c r="H55" s="19">
        <f>IF(F55,MIN(E55,G55),0)</f>
        <v/>
      </c>
      <c r="I55" s="19">
        <f>ROUND(G55-H55,2)</f>
        <v/>
      </c>
      <c r="J55" s="19">
        <f>ROUND(INDEX(CCNL!$G$5:$G$12,MATCH(C55,CCNL!$A$5:$A$12,0))*D55,2)</f>
        <v/>
      </c>
      <c r="K55" s="19">
        <f>ROUND(E55-H55,2)</f>
        <v/>
      </c>
    </row>
    <row r="56">
      <c r="A56" s="15" t="inlineStr">
        <is>
          <t>B052</t>
        </is>
      </c>
      <c r="B56" s="15" t="inlineStr">
        <is>
          <t>B</t>
        </is>
      </c>
      <c r="C56" s="15" t="inlineStr">
        <is>
          <t>5</t>
        </is>
      </c>
      <c r="D56" s="15" t="n">
        <v>1</v>
      </c>
      <c r="E56" s="17" t="n">
        <v>150</v>
      </c>
      <c r="F56" s="15" t="b">
        <v>1</v>
      </c>
      <c r="G56" s="19">
        <f>ROUND((INDEX(CCNL!$G$5:$G$12,MATCH(C56,CCNL!$A$5:$A$12,0))-INDEX(CCNL!$F$5:$F$12,MATCH(C56,CCNL!$A$5:$A$12,0)))*D56,2)</f>
        <v/>
      </c>
      <c r="H56" s="19">
        <f>IF(F56,MIN(E56,G56),0)</f>
        <v/>
      </c>
      <c r="I56" s="19">
        <f>ROUND(G56-H56,2)</f>
        <v/>
      </c>
      <c r="J56" s="19">
        <f>ROUND(INDEX(CCNL!$G$5:$G$12,MATCH(C56,CCNL!$A$5:$A$12,0))*D56,2)</f>
        <v/>
      </c>
      <c r="K56" s="19">
        <f>ROUND(E56-H56,2)</f>
        <v/>
      </c>
    </row>
    <row r="57">
      <c r="A57" s="15" t="inlineStr">
        <is>
          <t>B053</t>
        </is>
      </c>
      <c r="B57" s="15" t="inlineStr">
        <is>
          <t>B</t>
        </is>
      </c>
      <c r="C57" s="15" t="inlineStr">
        <is>
          <t>4</t>
        </is>
      </c>
      <c r="D57" s="15" t="n">
        <v>0.5</v>
      </c>
      <c r="E57" s="17" t="n">
        <v>0</v>
      </c>
      <c r="F57" s="15" t="b">
        <v>1</v>
      </c>
      <c r="G57" s="19">
        <f>ROUND((INDEX(CCNL!$G$5:$G$12,MATCH(C57,CCNL!$A$5:$A$12,0))-INDEX(CCNL!$F$5:$F$12,MATCH(C57,CCNL!$A$5:$A$12,0)))*D57,2)</f>
        <v/>
      </c>
      <c r="H57" s="19">
        <f>IF(F57,MIN(E57,G57),0)</f>
        <v/>
      </c>
      <c r="I57" s="19">
        <f>ROUND(G57-H57,2)</f>
        <v/>
      </c>
      <c r="J57" s="19">
        <f>ROUND(INDEX(CCNL!$G$5:$G$12,MATCH(C57,CCNL!$A$5:$A$12,0))*D57,2)</f>
        <v/>
      </c>
      <c r="K57" s="19">
        <f>ROUND(E57-H57,2)</f>
        <v/>
      </c>
    </row>
    <row r="58">
      <c r="A58" s="15" t="inlineStr">
        <is>
          <t>B054</t>
        </is>
      </c>
      <c r="B58" s="15" t="inlineStr">
        <is>
          <t>B</t>
        </is>
      </c>
      <c r="C58" s="15" t="inlineStr">
        <is>
          <t>4</t>
        </is>
      </c>
      <c r="D58" s="15" t="n">
        <v>1</v>
      </c>
      <c r="E58" s="17" t="n">
        <v>300</v>
      </c>
      <c r="F58" s="15" t="b">
        <v>1</v>
      </c>
      <c r="G58" s="19">
        <f>ROUND((INDEX(CCNL!$G$5:$G$12,MATCH(C58,CCNL!$A$5:$A$12,0))-INDEX(CCNL!$F$5:$F$12,MATCH(C58,CCNL!$A$5:$A$12,0)))*D58,2)</f>
        <v/>
      </c>
      <c r="H58" s="19">
        <f>IF(F58,MIN(E58,G58),0)</f>
        <v/>
      </c>
      <c r="I58" s="19">
        <f>ROUND(G58-H58,2)</f>
        <v/>
      </c>
      <c r="J58" s="19">
        <f>ROUND(INDEX(CCNL!$G$5:$G$12,MATCH(C58,CCNL!$A$5:$A$12,0))*D58,2)</f>
        <v/>
      </c>
      <c r="K58" s="19">
        <f>ROUND(E58-H58,2)</f>
        <v/>
      </c>
    </row>
    <row r="59">
      <c r="A59" s="15" t="inlineStr">
        <is>
          <t>B055</t>
        </is>
      </c>
      <c r="B59" s="15" t="inlineStr">
        <is>
          <t>B</t>
        </is>
      </c>
      <c r="C59" s="15" t="inlineStr">
        <is>
          <t>5</t>
        </is>
      </c>
      <c r="D59" s="15" t="n">
        <v>1</v>
      </c>
      <c r="E59" s="17" t="n">
        <v>200</v>
      </c>
      <c r="F59" s="15" t="b">
        <v>1</v>
      </c>
      <c r="G59" s="19">
        <f>ROUND((INDEX(CCNL!$G$5:$G$12,MATCH(C59,CCNL!$A$5:$A$12,0))-INDEX(CCNL!$F$5:$F$12,MATCH(C59,CCNL!$A$5:$A$12,0)))*D59,2)</f>
        <v/>
      </c>
      <c r="H59" s="19">
        <f>IF(F59,MIN(E59,G59),0)</f>
        <v/>
      </c>
      <c r="I59" s="19">
        <f>ROUND(G59-H59,2)</f>
        <v/>
      </c>
      <c r="J59" s="19">
        <f>ROUND(INDEX(CCNL!$G$5:$G$12,MATCH(C59,CCNL!$A$5:$A$12,0))*D59,2)</f>
        <v/>
      </c>
      <c r="K59" s="19">
        <f>ROUND(E59-H59,2)</f>
        <v/>
      </c>
    </row>
    <row r="60">
      <c r="A60" s="15" t="inlineStr">
        <is>
          <t>B056</t>
        </is>
      </c>
      <c r="B60" s="15" t="inlineStr">
        <is>
          <t>B</t>
        </is>
      </c>
      <c r="C60" s="15" t="inlineStr">
        <is>
          <t>5</t>
        </is>
      </c>
      <c r="D60" s="15" t="n">
        <v>1</v>
      </c>
      <c r="E60" s="17" t="n">
        <v>300</v>
      </c>
      <c r="F60" s="15" t="b">
        <v>0</v>
      </c>
      <c r="G60" s="19">
        <f>ROUND((INDEX(CCNL!$G$5:$G$12,MATCH(C60,CCNL!$A$5:$A$12,0))-INDEX(CCNL!$F$5:$F$12,MATCH(C60,CCNL!$A$5:$A$12,0)))*D60,2)</f>
        <v/>
      </c>
      <c r="H60" s="19">
        <f>IF(F60,MIN(E60,G60),0)</f>
        <v/>
      </c>
      <c r="I60" s="19">
        <f>ROUND(G60-H60,2)</f>
        <v/>
      </c>
      <c r="J60" s="19">
        <f>ROUND(INDEX(CCNL!$G$5:$G$12,MATCH(C60,CCNL!$A$5:$A$12,0))*D60,2)</f>
        <v/>
      </c>
      <c r="K60" s="19">
        <f>ROUND(E60-H60,2)</f>
        <v/>
      </c>
    </row>
    <row r="61">
      <c r="A61" s="15" t="inlineStr">
        <is>
          <t>B057</t>
        </is>
      </c>
      <c r="B61" s="15" t="inlineStr">
        <is>
          <t>B</t>
        </is>
      </c>
      <c r="C61" s="15" t="inlineStr">
        <is>
          <t>6</t>
        </is>
      </c>
      <c r="D61" s="15" t="n">
        <v>1</v>
      </c>
      <c r="E61" s="17" t="n">
        <v>0</v>
      </c>
      <c r="F61" s="15" t="b">
        <v>1</v>
      </c>
      <c r="G61" s="19">
        <f>ROUND((INDEX(CCNL!$G$5:$G$12,MATCH(C61,CCNL!$A$5:$A$12,0))-INDEX(CCNL!$F$5:$F$12,MATCH(C61,CCNL!$A$5:$A$12,0)))*D61,2)</f>
        <v/>
      </c>
      <c r="H61" s="19">
        <f>IF(F61,MIN(E61,G61),0)</f>
        <v/>
      </c>
      <c r="I61" s="19">
        <f>ROUND(G61-H61,2)</f>
        <v/>
      </c>
      <c r="J61" s="19">
        <f>ROUND(INDEX(CCNL!$G$5:$G$12,MATCH(C61,CCNL!$A$5:$A$12,0))*D61,2)</f>
        <v/>
      </c>
      <c r="K61" s="19">
        <f>ROUND(E61-H61,2)</f>
        <v/>
      </c>
    </row>
    <row r="62">
      <c r="A62" s="15" t="inlineStr">
        <is>
          <t>B058</t>
        </is>
      </c>
      <c r="B62" s="15" t="inlineStr">
        <is>
          <t>B</t>
        </is>
      </c>
      <c r="C62" s="15" t="inlineStr">
        <is>
          <t>5</t>
        </is>
      </c>
      <c r="D62" s="15" t="n">
        <v>1</v>
      </c>
      <c r="E62" s="17" t="n">
        <v>0</v>
      </c>
      <c r="F62" s="15" t="b">
        <v>0</v>
      </c>
      <c r="G62" s="19">
        <f>ROUND((INDEX(CCNL!$G$5:$G$12,MATCH(C62,CCNL!$A$5:$A$12,0))-INDEX(CCNL!$F$5:$F$12,MATCH(C62,CCNL!$A$5:$A$12,0)))*D62,2)</f>
        <v/>
      </c>
      <c r="H62" s="19">
        <f>IF(F62,MIN(E62,G62),0)</f>
        <v/>
      </c>
      <c r="I62" s="19">
        <f>ROUND(G62-H62,2)</f>
        <v/>
      </c>
      <c r="J62" s="19">
        <f>ROUND(INDEX(CCNL!$G$5:$G$12,MATCH(C62,CCNL!$A$5:$A$12,0))*D62,2)</f>
        <v/>
      </c>
      <c r="K62" s="19">
        <f>ROUND(E62-H62,2)</f>
        <v/>
      </c>
    </row>
    <row r="63">
      <c r="A63" s="15" t="inlineStr">
        <is>
          <t>B059</t>
        </is>
      </c>
      <c r="B63" s="15" t="inlineStr">
        <is>
          <t>B</t>
        </is>
      </c>
      <c r="C63" s="15" t="inlineStr">
        <is>
          <t>3</t>
        </is>
      </c>
      <c r="D63" s="15" t="n">
        <v>1</v>
      </c>
      <c r="E63" s="17" t="n">
        <v>50</v>
      </c>
      <c r="F63" s="15" t="b">
        <v>0</v>
      </c>
      <c r="G63" s="19">
        <f>ROUND((INDEX(CCNL!$G$5:$G$12,MATCH(C63,CCNL!$A$5:$A$12,0))-INDEX(CCNL!$F$5:$F$12,MATCH(C63,CCNL!$A$5:$A$12,0)))*D63,2)</f>
        <v/>
      </c>
      <c r="H63" s="19">
        <f>IF(F63,MIN(E63,G63),0)</f>
        <v/>
      </c>
      <c r="I63" s="19">
        <f>ROUND(G63-H63,2)</f>
        <v/>
      </c>
      <c r="J63" s="19">
        <f>ROUND(INDEX(CCNL!$G$5:$G$12,MATCH(C63,CCNL!$A$5:$A$12,0))*D63,2)</f>
        <v/>
      </c>
      <c r="K63" s="19">
        <f>ROUND(E63-H63,2)</f>
        <v/>
      </c>
    </row>
    <row r="64">
      <c r="A64" s="15" t="inlineStr">
        <is>
          <t>B060</t>
        </is>
      </c>
      <c r="B64" s="15" t="inlineStr">
        <is>
          <t>B</t>
        </is>
      </c>
      <c r="C64" s="15" t="inlineStr">
        <is>
          <t>3</t>
        </is>
      </c>
      <c r="D64" s="15" t="n">
        <v>0.75</v>
      </c>
      <c r="E64" s="17" t="n">
        <v>225</v>
      </c>
      <c r="F64" s="15" t="b">
        <v>0</v>
      </c>
      <c r="G64" s="19">
        <f>ROUND((INDEX(CCNL!$G$5:$G$12,MATCH(C64,CCNL!$A$5:$A$12,0))-INDEX(CCNL!$F$5:$F$12,MATCH(C64,CCNL!$A$5:$A$12,0)))*D64,2)</f>
        <v/>
      </c>
      <c r="H64" s="19">
        <f>IF(F64,MIN(E64,G64),0)</f>
        <v/>
      </c>
      <c r="I64" s="19">
        <f>ROUND(G64-H64,2)</f>
        <v/>
      </c>
      <c r="J64" s="19">
        <f>ROUND(INDEX(CCNL!$G$5:$G$12,MATCH(C64,CCNL!$A$5:$A$12,0))*D64,2)</f>
        <v/>
      </c>
      <c r="K64" s="19">
        <f>ROUND(E64-H64,2)</f>
        <v/>
      </c>
    </row>
    <row r="65">
      <c r="A65" s="15" t="inlineStr">
        <is>
          <t>B061</t>
        </is>
      </c>
      <c r="B65" s="15" t="inlineStr">
        <is>
          <t>B</t>
        </is>
      </c>
      <c r="C65" s="15" t="inlineStr">
        <is>
          <t>4</t>
        </is>
      </c>
      <c r="D65" s="15" t="n">
        <v>0.75</v>
      </c>
      <c r="E65" s="17" t="n">
        <v>150</v>
      </c>
      <c r="F65" s="15" t="b">
        <v>1</v>
      </c>
      <c r="G65" s="19">
        <f>ROUND((INDEX(CCNL!$G$5:$G$12,MATCH(C65,CCNL!$A$5:$A$12,0))-INDEX(CCNL!$F$5:$F$12,MATCH(C65,CCNL!$A$5:$A$12,0)))*D65,2)</f>
        <v/>
      </c>
      <c r="H65" s="19">
        <f>IF(F65,MIN(E65,G65),0)</f>
        <v/>
      </c>
      <c r="I65" s="19">
        <f>ROUND(G65-H65,2)</f>
        <v/>
      </c>
      <c r="J65" s="19">
        <f>ROUND(INDEX(CCNL!$G$5:$G$12,MATCH(C65,CCNL!$A$5:$A$12,0))*D65,2)</f>
        <v/>
      </c>
      <c r="K65" s="19">
        <f>ROUND(E65-H65,2)</f>
        <v/>
      </c>
    </row>
    <row r="66">
      <c r="A66" s="15" t="inlineStr">
        <is>
          <t>B062</t>
        </is>
      </c>
      <c r="B66" s="15" t="inlineStr">
        <is>
          <t>B</t>
        </is>
      </c>
      <c r="C66" s="15" t="inlineStr">
        <is>
          <t>4</t>
        </is>
      </c>
      <c r="D66" s="15" t="n">
        <v>1</v>
      </c>
      <c r="E66" s="17" t="n">
        <v>80</v>
      </c>
      <c r="F66" s="15" t="b">
        <v>1</v>
      </c>
      <c r="G66" s="19">
        <f>ROUND((INDEX(CCNL!$G$5:$G$12,MATCH(C66,CCNL!$A$5:$A$12,0))-INDEX(CCNL!$F$5:$F$12,MATCH(C66,CCNL!$A$5:$A$12,0)))*D66,2)</f>
        <v/>
      </c>
      <c r="H66" s="19">
        <f>IF(F66,MIN(E66,G66),0)</f>
        <v/>
      </c>
      <c r="I66" s="19">
        <f>ROUND(G66-H66,2)</f>
        <v/>
      </c>
      <c r="J66" s="19">
        <f>ROUND(INDEX(CCNL!$G$5:$G$12,MATCH(C66,CCNL!$A$5:$A$12,0))*D66,2)</f>
        <v/>
      </c>
      <c r="K66" s="19">
        <f>ROUND(E66-H66,2)</f>
        <v/>
      </c>
    </row>
    <row r="67">
      <c r="A67" s="15" t="inlineStr">
        <is>
          <t>B063</t>
        </is>
      </c>
      <c r="B67" s="15" t="inlineStr">
        <is>
          <t>B</t>
        </is>
      </c>
      <c r="C67" s="15" t="inlineStr">
        <is>
          <t>4</t>
        </is>
      </c>
      <c r="D67" s="15" t="n">
        <v>1</v>
      </c>
      <c r="E67" s="17" t="n">
        <v>0</v>
      </c>
      <c r="F67" s="15" t="b">
        <v>1</v>
      </c>
      <c r="G67" s="19">
        <f>ROUND((INDEX(CCNL!$G$5:$G$12,MATCH(C67,CCNL!$A$5:$A$12,0))-INDEX(CCNL!$F$5:$F$12,MATCH(C67,CCNL!$A$5:$A$12,0)))*D67,2)</f>
        <v/>
      </c>
      <c r="H67" s="19">
        <f>IF(F67,MIN(E67,G67),0)</f>
        <v/>
      </c>
      <c r="I67" s="19">
        <f>ROUND(G67-H67,2)</f>
        <v/>
      </c>
      <c r="J67" s="19">
        <f>ROUND(INDEX(CCNL!$G$5:$G$12,MATCH(C67,CCNL!$A$5:$A$12,0))*D67,2)</f>
        <v/>
      </c>
      <c r="K67" s="19">
        <f>ROUND(E67-H67,2)</f>
        <v/>
      </c>
    </row>
    <row r="68">
      <c r="A68" s="15" t="inlineStr">
        <is>
          <t>B064</t>
        </is>
      </c>
      <c r="B68" s="15" t="inlineStr">
        <is>
          <t>B</t>
        </is>
      </c>
      <c r="C68" s="15" t="inlineStr">
        <is>
          <t>7</t>
        </is>
      </c>
      <c r="D68" s="15" t="n">
        <v>1</v>
      </c>
      <c r="E68" s="17" t="n">
        <v>200</v>
      </c>
      <c r="F68" s="15" t="b">
        <v>0</v>
      </c>
      <c r="G68" s="19">
        <f>ROUND((INDEX(CCNL!$G$5:$G$12,MATCH(C68,CCNL!$A$5:$A$12,0))-INDEX(CCNL!$F$5:$F$12,MATCH(C68,CCNL!$A$5:$A$12,0)))*D68,2)</f>
        <v/>
      </c>
      <c r="H68" s="19">
        <f>IF(F68,MIN(E68,G68),0)</f>
        <v/>
      </c>
      <c r="I68" s="19">
        <f>ROUND(G68-H68,2)</f>
        <v/>
      </c>
      <c r="J68" s="19">
        <f>ROUND(INDEX(CCNL!$G$5:$G$12,MATCH(C68,CCNL!$A$5:$A$12,0))*D68,2)</f>
        <v/>
      </c>
      <c r="K68" s="19">
        <f>ROUND(E68-H68,2)</f>
        <v/>
      </c>
    </row>
    <row r="69">
      <c r="A69" s="15" t="inlineStr">
        <is>
          <t>B065</t>
        </is>
      </c>
      <c r="B69" s="15" t="inlineStr">
        <is>
          <t>B</t>
        </is>
      </c>
      <c r="C69" s="15" t="inlineStr">
        <is>
          <t>5</t>
        </is>
      </c>
      <c r="D69" s="15" t="n">
        <v>1</v>
      </c>
      <c r="E69" s="17" t="n">
        <v>200</v>
      </c>
      <c r="F69" s="15" t="b">
        <v>0</v>
      </c>
      <c r="G69" s="19">
        <f>ROUND((INDEX(CCNL!$G$5:$G$12,MATCH(C69,CCNL!$A$5:$A$12,0))-INDEX(CCNL!$F$5:$F$12,MATCH(C69,CCNL!$A$5:$A$12,0)))*D69,2)</f>
        <v/>
      </c>
      <c r="H69" s="19">
        <f>IF(F69,MIN(E69,G69),0)</f>
        <v/>
      </c>
      <c r="I69" s="19">
        <f>ROUND(G69-H69,2)</f>
        <v/>
      </c>
      <c r="J69" s="19">
        <f>ROUND(INDEX(CCNL!$G$5:$G$12,MATCH(C69,CCNL!$A$5:$A$12,0))*D69,2)</f>
        <v/>
      </c>
      <c r="K69" s="19">
        <f>ROUND(E69-H69,2)</f>
        <v/>
      </c>
    </row>
    <row r="70">
      <c r="A70" s="15" t="inlineStr">
        <is>
          <t>B066</t>
        </is>
      </c>
      <c r="B70" s="15" t="inlineStr">
        <is>
          <t>B</t>
        </is>
      </c>
      <c r="C70" s="15" t="inlineStr">
        <is>
          <t>2</t>
        </is>
      </c>
      <c r="D70" s="15" t="n">
        <v>1</v>
      </c>
      <c r="E70" s="17" t="n">
        <v>0</v>
      </c>
      <c r="F70" s="15" t="b">
        <v>1</v>
      </c>
      <c r="G70" s="19">
        <f>ROUND((INDEX(CCNL!$G$5:$G$12,MATCH(C70,CCNL!$A$5:$A$12,0))-INDEX(CCNL!$F$5:$F$12,MATCH(C70,CCNL!$A$5:$A$12,0)))*D70,2)</f>
        <v/>
      </c>
      <c r="H70" s="19">
        <f>IF(F70,MIN(E70,G70),0)</f>
        <v/>
      </c>
      <c r="I70" s="19">
        <f>ROUND(G70-H70,2)</f>
        <v/>
      </c>
      <c r="J70" s="19">
        <f>ROUND(INDEX(CCNL!$G$5:$G$12,MATCH(C70,CCNL!$A$5:$A$12,0))*D70,2)</f>
        <v/>
      </c>
      <c r="K70" s="19">
        <f>ROUND(E70-H70,2)</f>
        <v/>
      </c>
    </row>
    <row r="71">
      <c r="A71" s="15" t="inlineStr">
        <is>
          <t>B067</t>
        </is>
      </c>
      <c r="B71" s="15" t="inlineStr">
        <is>
          <t>B</t>
        </is>
      </c>
      <c r="C71" s="15" t="inlineStr">
        <is>
          <t>4</t>
        </is>
      </c>
      <c r="D71" s="15" t="n">
        <v>0.75</v>
      </c>
      <c r="E71" s="17" t="n">
        <v>150</v>
      </c>
      <c r="F71" s="15" t="b">
        <v>1</v>
      </c>
      <c r="G71" s="19">
        <f>ROUND((INDEX(CCNL!$G$5:$G$12,MATCH(C71,CCNL!$A$5:$A$12,0))-INDEX(CCNL!$F$5:$F$12,MATCH(C71,CCNL!$A$5:$A$12,0)))*D71,2)</f>
        <v/>
      </c>
      <c r="H71" s="19">
        <f>IF(F71,MIN(E71,G71),0)</f>
        <v/>
      </c>
      <c r="I71" s="19">
        <f>ROUND(G71-H71,2)</f>
        <v/>
      </c>
      <c r="J71" s="19">
        <f>ROUND(INDEX(CCNL!$G$5:$G$12,MATCH(C71,CCNL!$A$5:$A$12,0))*D71,2)</f>
        <v/>
      </c>
      <c r="K71" s="19">
        <f>ROUND(E71-H71,2)</f>
        <v/>
      </c>
    </row>
    <row r="72">
      <c r="A72" s="15" t="inlineStr">
        <is>
          <t>B068</t>
        </is>
      </c>
      <c r="B72" s="15" t="inlineStr">
        <is>
          <t>B</t>
        </is>
      </c>
      <c r="C72" s="15" t="inlineStr">
        <is>
          <t>4</t>
        </is>
      </c>
      <c r="D72" s="15" t="n">
        <v>1</v>
      </c>
      <c r="E72" s="17" t="n">
        <v>80</v>
      </c>
      <c r="F72" s="15" t="b">
        <v>1</v>
      </c>
      <c r="G72" s="19">
        <f>ROUND((INDEX(CCNL!$G$5:$G$12,MATCH(C72,CCNL!$A$5:$A$12,0))-INDEX(CCNL!$F$5:$F$12,MATCH(C72,CCNL!$A$5:$A$12,0)))*D72,2)</f>
        <v/>
      </c>
      <c r="H72" s="19">
        <f>IF(F72,MIN(E72,G72),0)</f>
        <v/>
      </c>
      <c r="I72" s="19">
        <f>ROUND(G72-H72,2)</f>
        <v/>
      </c>
      <c r="J72" s="19">
        <f>ROUND(INDEX(CCNL!$G$5:$G$12,MATCH(C72,CCNL!$A$5:$A$12,0))*D72,2)</f>
        <v/>
      </c>
      <c r="K72" s="19">
        <f>ROUND(E72-H72,2)</f>
        <v/>
      </c>
    </row>
    <row r="73">
      <c r="A73" s="15" t="inlineStr">
        <is>
          <t>B069</t>
        </is>
      </c>
      <c r="B73" s="15" t="inlineStr">
        <is>
          <t>B</t>
        </is>
      </c>
      <c r="C73" s="15" t="inlineStr">
        <is>
          <t>4</t>
        </is>
      </c>
      <c r="D73" s="15" t="n">
        <v>1</v>
      </c>
      <c r="E73" s="17" t="n">
        <v>80</v>
      </c>
      <c r="F73" s="15" t="b">
        <v>0</v>
      </c>
      <c r="G73" s="19">
        <f>ROUND((INDEX(CCNL!$G$5:$G$12,MATCH(C73,CCNL!$A$5:$A$12,0))-INDEX(CCNL!$F$5:$F$12,MATCH(C73,CCNL!$A$5:$A$12,0)))*D73,2)</f>
        <v/>
      </c>
      <c r="H73" s="19">
        <f>IF(F73,MIN(E73,G73),0)</f>
        <v/>
      </c>
      <c r="I73" s="19">
        <f>ROUND(G73-H73,2)</f>
        <v/>
      </c>
      <c r="J73" s="19">
        <f>ROUND(INDEX(CCNL!$G$5:$G$12,MATCH(C73,CCNL!$A$5:$A$12,0))*D73,2)</f>
        <v/>
      </c>
      <c r="K73" s="19">
        <f>ROUND(E73-H73,2)</f>
        <v/>
      </c>
    </row>
    <row r="74">
      <c r="A74" s="15" t="inlineStr">
        <is>
          <t>B070</t>
        </is>
      </c>
      <c r="B74" s="15" t="inlineStr">
        <is>
          <t>B</t>
        </is>
      </c>
      <c r="C74" s="15" t="inlineStr">
        <is>
          <t>7</t>
        </is>
      </c>
      <c r="D74" s="15" t="n">
        <v>1</v>
      </c>
      <c r="E74" s="17" t="n">
        <v>150</v>
      </c>
      <c r="F74" s="15" t="b">
        <v>1</v>
      </c>
      <c r="G74" s="19">
        <f>ROUND((INDEX(CCNL!$G$5:$G$12,MATCH(C74,CCNL!$A$5:$A$12,0))-INDEX(CCNL!$F$5:$F$12,MATCH(C74,CCNL!$A$5:$A$12,0)))*D74,2)</f>
        <v/>
      </c>
      <c r="H74" s="19">
        <f>IF(F74,MIN(E74,G74),0)</f>
        <v/>
      </c>
      <c r="I74" s="19">
        <f>ROUND(G74-H74,2)</f>
        <v/>
      </c>
      <c r="J74" s="19">
        <f>ROUND(INDEX(CCNL!$G$5:$G$12,MATCH(C74,CCNL!$A$5:$A$12,0))*D74,2)</f>
        <v/>
      </c>
      <c r="K74" s="19">
        <f>ROUND(E74-H74,2)</f>
        <v/>
      </c>
    </row>
    <row r="75">
      <c r="A75" s="15" t="inlineStr">
        <is>
          <t>B071</t>
        </is>
      </c>
      <c r="B75" s="15" t="inlineStr">
        <is>
          <t>B</t>
        </is>
      </c>
      <c r="C75" s="15" t="inlineStr">
        <is>
          <t>4</t>
        </is>
      </c>
      <c r="D75" s="15" t="n">
        <v>0.5</v>
      </c>
      <c r="E75" s="17" t="n">
        <v>150</v>
      </c>
      <c r="F75" s="15" t="b">
        <v>1</v>
      </c>
      <c r="G75" s="19">
        <f>ROUND((INDEX(CCNL!$G$5:$G$12,MATCH(C75,CCNL!$A$5:$A$12,0))-INDEX(CCNL!$F$5:$F$12,MATCH(C75,CCNL!$A$5:$A$12,0)))*D75,2)</f>
        <v/>
      </c>
      <c r="H75" s="19">
        <f>IF(F75,MIN(E75,G75),0)</f>
        <v/>
      </c>
      <c r="I75" s="19">
        <f>ROUND(G75-H75,2)</f>
        <v/>
      </c>
      <c r="J75" s="19">
        <f>ROUND(INDEX(CCNL!$G$5:$G$12,MATCH(C75,CCNL!$A$5:$A$12,0))*D75,2)</f>
        <v/>
      </c>
      <c r="K75" s="19">
        <f>ROUND(E75-H75,2)</f>
        <v/>
      </c>
    </row>
    <row r="76">
      <c r="A76" s="15" t="inlineStr">
        <is>
          <t>B072</t>
        </is>
      </c>
      <c r="B76" s="15" t="inlineStr">
        <is>
          <t>B</t>
        </is>
      </c>
      <c r="C76" s="15" t="inlineStr">
        <is>
          <t>4</t>
        </is>
      </c>
      <c r="D76" s="15" t="n">
        <v>1</v>
      </c>
      <c r="E76" s="17" t="n">
        <v>150</v>
      </c>
      <c r="F76" s="15" t="b">
        <v>0</v>
      </c>
      <c r="G76" s="19">
        <f>ROUND((INDEX(CCNL!$G$5:$G$12,MATCH(C76,CCNL!$A$5:$A$12,0))-INDEX(CCNL!$F$5:$F$12,MATCH(C76,CCNL!$A$5:$A$12,0)))*D76,2)</f>
        <v/>
      </c>
      <c r="H76" s="19">
        <f>IF(F76,MIN(E76,G76),0)</f>
        <v/>
      </c>
      <c r="I76" s="19">
        <f>ROUND(G76-H76,2)</f>
        <v/>
      </c>
      <c r="J76" s="19">
        <f>ROUND(INDEX(CCNL!$G$5:$G$12,MATCH(C76,CCNL!$A$5:$A$12,0))*D76,2)</f>
        <v/>
      </c>
      <c r="K76" s="19">
        <f>ROUND(E76-H76,2)</f>
        <v/>
      </c>
    </row>
    <row r="77">
      <c r="A77" s="15" t="inlineStr">
        <is>
          <t>B073</t>
        </is>
      </c>
      <c r="B77" s="15" t="inlineStr">
        <is>
          <t>B</t>
        </is>
      </c>
      <c r="C77" s="15" t="inlineStr">
        <is>
          <t>4</t>
        </is>
      </c>
      <c r="D77" s="15" t="n">
        <v>1</v>
      </c>
      <c r="E77" s="17" t="n">
        <v>300</v>
      </c>
      <c r="F77" s="15" t="b">
        <v>0</v>
      </c>
      <c r="G77" s="19">
        <f>ROUND((INDEX(CCNL!$G$5:$G$12,MATCH(C77,CCNL!$A$5:$A$12,0))-INDEX(CCNL!$F$5:$F$12,MATCH(C77,CCNL!$A$5:$A$12,0)))*D77,2)</f>
        <v/>
      </c>
      <c r="H77" s="19">
        <f>IF(F77,MIN(E77,G77),0)</f>
        <v/>
      </c>
      <c r="I77" s="19">
        <f>ROUND(G77-H77,2)</f>
        <v/>
      </c>
      <c r="J77" s="19">
        <f>ROUND(INDEX(CCNL!$G$5:$G$12,MATCH(C77,CCNL!$A$5:$A$12,0))*D77,2)</f>
        <v/>
      </c>
      <c r="K77" s="19">
        <f>ROUND(E77-H77,2)</f>
        <v/>
      </c>
    </row>
    <row r="78">
      <c r="A78" s="15" t="inlineStr">
        <is>
          <t>B074</t>
        </is>
      </c>
      <c r="B78" s="15" t="inlineStr">
        <is>
          <t>B</t>
        </is>
      </c>
      <c r="C78" s="15" t="inlineStr">
        <is>
          <t>4</t>
        </is>
      </c>
      <c r="D78" s="15" t="n">
        <v>1</v>
      </c>
      <c r="E78" s="17" t="n">
        <v>120</v>
      </c>
      <c r="F78" s="15" t="b">
        <v>0</v>
      </c>
      <c r="G78" s="19">
        <f>ROUND((INDEX(CCNL!$G$5:$G$12,MATCH(C78,CCNL!$A$5:$A$12,0))-INDEX(CCNL!$F$5:$F$12,MATCH(C78,CCNL!$A$5:$A$12,0)))*D78,2)</f>
        <v/>
      </c>
      <c r="H78" s="19">
        <f>IF(F78,MIN(E78,G78),0)</f>
        <v/>
      </c>
      <c r="I78" s="19">
        <f>ROUND(G78-H78,2)</f>
        <v/>
      </c>
      <c r="J78" s="19">
        <f>ROUND(INDEX(CCNL!$G$5:$G$12,MATCH(C78,CCNL!$A$5:$A$12,0))*D78,2)</f>
        <v/>
      </c>
      <c r="K78" s="19">
        <f>ROUND(E78-H78,2)</f>
        <v/>
      </c>
    </row>
    <row r="79">
      <c r="A79" s="15" t="inlineStr">
        <is>
          <t>B075</t>
        </is>
      </c>
      <c r="B79" s="15" t="inlineStr">
        <is>
          <t>B</t>
        </is>
      </c>
      <c r="C79" s="15" t="inlineStr">
        <is>
          <t>4</t>
        </is>
      </c>
      <c r="D79" s="15" t="n">
        <v>1</v>
      </c>
      <c r="E79" s="17" t="n">
        <v>0</v>
      </c>
      <c r="F79" s="15" t="b">
        <v>0</v>
      </c>
      <c r="G79" s="19">
        <f>ROUND((INDEX(CCNL!$G$5:$G$12,MATCH(C79,CCNL!$A$5:$A$12,0))-INDEX(CCNL!$F$5:$F$12,MATCH(C79,CCNL!$A$5:$A$12,0)))*D79,2)</f>
        <v/>
      </c>
      <c r="H79" s="19">
        <f>IF(F79,MIN(E79,G79),0)</f>
        <v/>
      </c>
      <c r="I79" s="19">
        <f>ROUND(G79-H79,2)</f>
        <v/>
      </c>
      <c r="J79" s="19">
        <f>ROUND(INDEX(CCNL!$G$5:$G$12,MATCH(C79,CCNL!$A$5:$A$12,0))*D79,2)</f>
        <v/>
      </c>
      <c r="K79" s="19">
        <f>ROUND(E79-H79,2)</f>
        <v/>
      </c>
    </row>
    <row r="80">
      <c r="A80" s="15" t="inlineStr">
        <is>
          <t>B076</t>
        </is>
      </c>
      <c r="B80" s="15" t="inlineStr">
        <is>
          <t>B</t>
        </is>
      </c>
      <c r="C80" s="15" t="inlineStr">
        <is>
          <t>4</t>
        </is>
      </c>
      <c r="D80" s="15" t="n">
        <v>0.75</v>
      </c>
      <c r="E80" s="17" t="n">
        <v>0</v>
      </c>
      <c r="F80" s="15" t="b">
        <v>0</v>
      </c>
      <c r="G80" s="19">
        <f>ROUND((INDEX(CCNL!$G$5:$G$12,MATCH(C80,CCNL!$A$5:$A$12,0))-INDEX(CCNL!$F$5:$F$12,MATCH(C80,CCNL!$A$5:$A$12,0)))*D80,2)</f>
        <v/>
      </c>
      <c r="H80" s="19">
        <f>IF(F80,MIN(E80,G80),0)</f>
        <v/>
      </c>
      <c r="I80" s="19">
        <f>ROUND(G80-H80,2)</f>
        <v/>
      </c>
      <c r="J80" s="19">
        <f>ROUND(INDEX(CCNL!$G$5:$G$12,MATCH(C80,CCNL!$A$5:$A$12,0))*D80,2)</f>
        <v/>
      </c>
      <c r="K80" s="19">
        <f>ROUND(E80-H80,2)</f>
        <v/>
      </c>
    </row>
    <row r="81">
      <c r="A81" s="15" t="inlineStr">
        <is>
          <t>B077</t>
        </is>
      </c>
      <c r="B81" s="15" t="inlineStr">
        <is>
          <t>B</t>
        </is>
      </c>
      <c r="C81" s="15" t="inlineStr">
        <is>
          <t>5</t>
        </is>
      </c>
      <c r="D81" s="15" t="n">
        <v>0.5</v>
      </c>
      <c r="E81" s="17" t="n">
        <v>150</v>
      </c>
      <c r="F81" s="15" t="b">
        <v>1</v>
      </c>
      <c r="G81" s="19">
        <f>ROUND((INDEX(CCNL!$G$5:$G$12,MATCH(C81,CCNL!$A$5:$A$12,0))-INDEX(CCNL!$F$5:$F$12,MATCH(C81,CCNL!$A$5:$A$12,0)))*D81,2)</f>
        <v/>
      </c>
      <c r="H81" s="19">
        <f>IF(F81,MIN(E81,G81),0)</f>
        <v/>
      </c>
      <c r="I81" s="19">
        <f>ROUND(G81-H81,2)</f>
        <v/>
      </c>
      <c r="J81" s="19">
        <f>ROUND(INDEX(CCNL!$G$5:$G$12,MATCH(C81,CCNL!$A$5:$A$12,0))*D81,2)</f>
        <v/>
      </c>
      <c r="K81" s="19">
        <f>ROUND(E81-H81,2)</f>
        <v/>
      </c>
    </row>
    <row r="82">
      <c r="A82" s="15" t="inlineStr">
        <is>
          <t>B078</t>
        </is>
      </c>
      <c r="B82" s="15" t="inlineStr">
        <is>
          <t>B</t>
        </is>
      </c>
      <c r="C82" s="15" t="inlineStr">
        <is>
          <t>1</t>
        </is>
      </c>
      <c r="D82" s="15" t="n">
        <v>1</v>
      </c>
      <c r="E82" s="17" t="n">
        <v>200</v>
      </c>
      <c r="F82" s="15" t="b">
        <v>1</v>
      </c>
      <c r="G82" s="19">
        <f>ROUND((INDEX(CCNL!$G$5:$G$12,MATCH(C82,CCNL!$A$5:$A$12,0))-INDEX(CCNL!$F$5:$F$12,MATCH(C82,CCNL!$A$5:$A$12,0)))*D82,2)</f>
        <v/>
      </c>
      <c r="H82" s="19">
        <f>IF(F82,MIN(E82,G82),0)</f>
        <v/>
      </c>
      <c r="I82" s="19">
        <f>ROUND(G82-H82,2)</f>
        <v/>
      </c>
      <c r="J82" s="19">
        <f>ROUND(INDEX(CCNL!$G$5:$G$12,MATCH(C82,CCNL!$A$5:$A$12,0))*D82,2)</f>
        <v/>
      </c>
      <c r="K82" s="19">
        <f>ROUND(E82-H82,2)</f>
        <v/>
      </c>
    </row>
    <row r="83">
      <c r="A83" s="15" t="inlineStr">
        <is>
          <t>B079</t>
        </is>
      </c>
      <c r="B83" s="15" t="inlineStr">
        <is>
          <t>B</t>
        </is>
      </c>
      <c r="C83" s="15" t="inlineStr">
        <is>
          <t>3</t>
        </is>
      </c>
      <c r="D83" s="15" t="n">
        <v>1</v>
      </c>
      <c r="E83" s="17" t="n">
        <v>50</v>
      </c>
      <c r="F83" s="15" t="b">
        <v>1</v>
      </c>
      <c r="G83" s="19">
        <f>ROUND((INDEX(CCNL!$G$5:$G$12,MATCH(C83,CCNL!$A$5:$A$12,0))-INDEX(CCNL!$F$5:$F$12,MATCH(C83,CCNL!$A$5:$A$12,0)))*D83,2)</f>
        <v/>
      </c>
      <c r="H83" s="19">
        <f>IF(F83,MIN(E83,G83),0)</f>
        <v/>
      </c>
      <c r="I83" s="19">
        <f>ROUND(G83-H83,2)</f>
        <v/>
      </c>
      <c r="J83" s="19">
        <f>ROUND(INDEX(CCNL!$G$5:$G$12,MATCH(C83,CCNL!$A$5:$A$12,0))*D83,2)</f>
        <v/>
      </c>
      <c r="K83" s="19">
        <f>ROUND(E83-H83,2)</f>
        <v/>
      </c>
    </row>
    <row r="84">
      <c r="A84" s="15" t="inlineStr">
        <is>
          <t>B080</t>
        </is>
      </c>
      <c r="B84" s="15" t="inlineStr">
        <is>
          <t>B</t>
        </is>
      </c>
      <c r="C84" s="15" t="inlineStr">
        <is>
          <t>4</t>
        </is>
      </c>
      <c r="D84" s="15" t="n">
        <v>0.75</v>
      </c>
      <c r="E84" s="17" t="n">
        <v>112.5</v>
      </c>
      <c r="F84" s="15" t="b">
        <v>1</v>
      </c>
      <c r="G84" s="19">
        <f>ROUND((INDEX(CCNL!$G$5:$G$12,MATCH(C84,CCNL!$A$5:$A$12,0))-INDEX(CCNL!$F$5:$F$12,MATCH(C84,CCNL!$A$5:$A$12,0)))*D84,2)</f>
        <v/>
      </c>
      <c r="H84" s="19">
        <f>IF(F84,MIN(E84,G84),0)</f>
        <v/>
      </c>
      <c r="I84" s="19">
        <f>ROUND(G84-H84,2)</f>
        <v/>
      </c>
      <c r="J84" s="19">
        <f>ROUND(INDEX(CCNL!$G$5:$G$12,MATCH(C84,CCNL!$A$5:$A$12,0))*D84,2)</f>
        <v/>
      </c>
      <c r="K84" s="19">
        <f>ROUND(E84-H84,2)</f>
        <v/>
      </c>
    </row>
    <row r="85">
      <c r="A85" s="15" t="inlineStr">
        <is>
          <t>B081</t>
        </is>
      </c>
      <c r="B85" s="15" t="inlineStr">
        <is>
          <t>B</t>
        </is>
      </c>
      <c r="C85" s="15" t="inlineStr">
        <is>
          <t>4</t>
        </is>
      </c>
      <c r="D85" s="15" t="n">
        <v>1</v>
      </c>
      <c r="E85" s="17" t="n">
        <v>80</v>
      </c>
      <c r="F85" s="15" t="b">
        <v>1</v>
      </c>
      <c r="G85" s="19">
        <f>ROUND((INDEX(CCNL!$G$5:$G$12,MATCH(C85,CCNL!$A$5:$A$12,0))-INDEX(CCNL!$F$5:$F$12,MATCH(C85,CCNL!$A$5:$A$12,0)))*D85,2)</f>
        <v/>
      </c>
      <c r="H85" s="19">
        <f>IF(F85,MIN(E85,G85),0)</f>
        <v/>
      </c>
      <c r="I85" s="19">
        <f>ROUND(G85-H85,2)</f>
        <v/>
      </c>
      <c r="J85" s="19">
        <f>ROUND(INDEX(CCNL!$G$5:$G$12,MATCH(C85,CCNL!$A$5:$A$12,0))*D85,2)</f>
        <v/>
      </c>
      <c r="K85" s="19">
        <f>ROUND(E85-H85,2)</f>
        <v/>
      </c>
    </row>
    <row r="86">
      <c r="A86" s="15" t="inlineStr">
        <is>
          <t>B082</t>
        </is>
      </c>
      <c r="B86" s="15" t="inlineStr">
        <is>
          <t>B</t>
        </is>
      </c>
      <c r="C86" s="15" t="inlineStr">
        <is>
          <t>7</t>
        </is>
      </c>
      <c r="D86" s="15" t="n">
        <v>1</v>
      </c>
      <c r="E86" s="17" t="n">
        <v>50</v>
      </c>
      <c r="F86" s="15" t="b">
        <v>0</v>
      </c>
      <c r="G86" s="19">
        <f>ROUND((INDEX(CCNL!$G$5:$G$12,MATCH(C86,CCNL!$A$5:$A$12,0))-INDEX(CCNL!$F$5:$F$12,MATCH(C86,CCNL!$A$5:$A$12,0)))*D86,2)</f>
        <v/>
      </c>
      <c r="H86" s="19">
        <f>IF(F86,MIN(E86,G86),0)</f>
        <v/>
      </c>
      <c r="I86" s="19">
        <f>ROUND(G86-H86,2)</f>
        <v/>
      </c>
      <c r="J86" s="19">
        <f>ROUND(INDEX(CCNL!$G$5:$G$12,MATCH(C86,CCNL!$A$5:$A$12,0))*D86,2)</f>
        <v/>
      </c>
      <c r="K86" s="19">
        <f>ROUND(E86-H86,2)</f>
        <v/>
      </c>
    </row>
    <row r="87">
      <c r="A87" s="15" t="inlineStr">
        <is>
          <t>B083</t>
        </is>
      </c>
      <c r="B87" s="15" t="inlineStr">
        <is>
          <t>B</t>
        </is>
      </c>
      <c r="C87" s="15" t="inlineStr">
        <is>
          <t>4</t>
        </is>
      </c>
      <c r="D87" s="15" t="n">
        <v>1</v>
      </c>
      <c r="E87" s="17" t="n">
        <v>0</v>
      </c>
      <c r="F87" s="15" t="b">
        <v>1</v>
      </c>
      <c r="G87" s="19">
        <f>ROUND((INDEX(CCNL!$G$5:$G$12,MATCH(C87,CCNL!$A$5:$A$12,0))-INDEX(CCNL!$F$5:$F$12,MATCH(C87,CCNL!$A$5:$A$12,0)))*D87,2)</f>
        <v/>
      </c>
      <c r="H87" s="19">
        <f>IF(F87,MIN(E87,G87),0)</f>
        <v/>
      </c>
      <c r="I87" s="19">
        <f>ROUND(G87-H87,2)</f>
        <v/>
      </c>
      <c r="J87" s="19">
        <f>ROUND(INDEX(CCNL!$G$5:$G$12,MATCH(C87,CCNL!$A$5:$A$12,0))*D87,2)</f>
        <v/>
      </c>
      <c r="K87" s="19">
        <f>ROUND(E87-H87,2)</f>
        <v/>
      </c>
    </row>
    <row r="88">
      <c r="A88" s="15" t="inlineStr">
        <is>
          <t>B084</t>
        </is>
      </c>
      <c r="B88" s="15" t="inlineStr">
        <is>
          <t>B</t>
        </is>
      </c>
      <c r="C88" s="15" t="inlineStr">
        <is>
          <t>4</t>
        </is>
      </c>
      <c r="D88" s="15" t="n">
        <v>1</v>
      </c>
      <c r="E88" s="17" t="n">
        <v>200</v>
      </c>
      <c r="F88" s="15" t="b">
        <v>0</v>
      </c>
      <c r="G88" s="19">
        <f>ROUND((INDEX(CCNL!$G$5:$G$12,MATCH(C88,CCNL!$A$5:$A$12,0))-INDEX(CCNL!$F$5:$F$12,MATCH(C88,CCNL!$A$5:$A$12,0)))*D88,2)</f>
        <v/>
      </c>
      <c r="H88" s="19">
        <f>IF(F88,MIN(E88,G88),0)</f>
        <v/>
      </c>
      <c r="I88" s="19">
        <f>ROUND(G88-H88,2)</f>
        <v/>
      </c>
      <c r="J88" s="19">
        <f>ROUND(INDEX(CCNL!$G$5:$G$12,MATCH(C88,CCNL!$A$5:$A$12,0))*D88,2)</f>
        <v/>
      </c>
      <c r="K88" s="19">
        <f>ROUND(E88-H88,2)</f>
        <v/>
      </c>
    </row>
    <row r="89">
      <c r="A89" s="15" t="inlineStr">
        <is>
          <t>B085</t>
        </is>
      </c>
      <c r="B89" s="15" t="inlineStr">
        <is>
          <t>B</t>
        </is>
      </c>
      <c r="C89" s="15" t="inlineStr">
        <is>
          <t>4</t>
        </is>
      </c>
      <c r="D89" s="15" t="n">
        <v>0.5</v>
      </c>
      <c r="E89" s="17" t="n">
        <v>40</v>
      </c>
      <c r="F89" s="15" t="b">
        <v>1</v>
      </c>
      <c r="G89" s="19">
        <f>ROUND((INDEX(CCNL!$G$5:$G$12,MATCH(C89,CCNL!$A$5:$A$12,0))-INDEX(CCNL!$F$5:$F$12,MATCH(C89,CCNL!$A$5:$A$12,0)))*D89,2)</f>
        <v/>
      </c>
      <c r="H89" s="19">
        <f>IF(F89,MIN(E89,G89),0)</f>
        <v/>
      </c>
      <c r="I89" s="19">
        <f>ROUND(G89-H89,2)</f>
        <v/>
      </c>
      <c r="J89" s="19">
        <f>ROUND(INDEX(CCNL!$G$5:$G$12,MATCH(C89,CCNL!$A$5:$A$12,0))*D89,2)</f>
        <v/>
      </c>
      <c r="K89" s="19">
        <f>ROUND(E89-H89,2)</f>
        <v/>
      </c>
    </row>
    <row r="90">
      <c r="A90" s="15" t="inlineStr">
        <is>
          <t>B086</t>
        </is>
      </c>
      <c r="B90" s="15" t="inlineStr">
        <is>
          <t>B</t>
        </is>
      </c>
      <c r="C90" s="15" t="inlineStr">
        <is>
          <t>4</t>
        </is>
      </c>
      <c r="D90" s="15" t="n">
        <v>1</v>
      </c>
      <c r="E90" s="17" t="n">
        <v>0</v>
      </c>
      <c r="F90" s="15" t="b">
        <v>1</v>
      </c>
      <c r="G90" s="19">
        <f>ROUND((INDEX(CCNL!$G$5:$G$12,MATCH(C90,CCNL!$A$5:$A$12,0))-INDEX(CCNL!$F$5:$F$12,MATCH(C90,CCNL!$A$5:$A$12,0)))*D90,2)</f>
        <v/>
      </c>
      <c r="H90" s="19">
        <f>IF(F90,MIN(E90,G90),0)</f>
        <v/>
      </c>
      <c r="I90" s="19">
        <f>ROUND(G90-H90,2)</f>
        <v/>
      </c>
      <c r="J90" s="19">
        <f>ROUND(INDEX(CCNL!$G$5:$G$12,MATCH(C90,CCNL!$A$5:$A$12,0))*D90,2)</f>
        <v/>
      </c>
      <c r="K90" s="19">
        <f>ROUND(E90-H90,2)</f>
        <v/>
      </c>
    </row>
    <row r="91">
      <c r="A91" s="15" t="inlineStr">
        <is>
          <t>B087</t>
        </is>
      </c>
      <c r="B91" s="15" t="inlineStr">
        <is>
          <t>B</t>
        </is>
      </c>
      <c r="C91" s="15" t="inlineStr">
        <is>
          <t>4</t>
        </is>
      </c>
      <c r="D91" s="15" t="n">
        <v>0.75</v>
      </c>
      <c r="E91" s="17" t="n">
        <v>0</v>
      </c>
      <c r="F91" s="15" t="b">
        <v>1</v>
      </c>
      <c r="G91" s="19">
        <f>ROUND((INDEX(CCNL!$G$5:$G$12,MATCH(C91,CCNL!$A$5:$A$12,0))-INDEX(CCNL!$F$5:$F$12,MATCH(C91,CCNL!$A$5:$A$12,0)))*D91,2)</f>
        <v/>
      </c>
      <c r="H91" s="19">
        <f>IF(F91,MIN(E91,G91),0)</f>
        <v/>
      </c>
      <c r="I91" s="19">
        <f>ROUND(G91-H91,2)</f>
        <v/>
      </c>
      <c r="J91" s="19">
        <f>ROUND(INDEX(CCNL!$G$5:$G$12,MATCH(C91,CCNL!$A$5:$A$12,0))*D91,2)</f>
        <v/>
      </c>
      <c r="K91" s="19">
        <f>ROUND(E91-H91,2)</f>
        <v/>
      </c>
    </row>
    <row r="92">
      <c r="A92" s="15" t="inlineStr">
        <is>
          <t>B088</t>
        </is>
      </c>
      <c r="B92" s="15" t="inlineStr">
        <is>
          <t>B</t>
        </is>
      </c>
      <c r="C92" s="15" t="inlineStr">
        <is>
          <t>4</t>
        </is>
      </c>
      <c r="D92" s="15" t="n">
        <v>0.5</v>
      </c>
      <c r="E92" s="17" t="n">
        <v>0</v>
      </c>
      <c r="F92" s="15" t="b">
        <v>1</v>
      </c>
      <c r="G92" s="19">
        <f>ROUND((INDEX(CCNL!$G$5:$G$12,MATCH(C92,CCNL!$A$5:$A$12,0))-INDEX(CCNL!$F$5:$F$12,MATCH(C92,CCNL!$A$5:$A$12,0)))*D92,2)</f>
        <v/>
      </c>
      <c r="H92" s="19">
        <f>IF(F92,MIN(E92,G92),0)</f>
        <v/>
      </c>
      <c r="I92" s="19">
        <f>ROUND(G92-H92,2)</f>
        <v/>
      </c>
      <c r="J92" s="19">
        <f>ROUND(INDEX(CCNL!$G$5:$G$12,MATCH(C92,CCNL!$A$5:$A$12,0))*D92,2)</f>
        <v/>
      </c>
      <c r="K92" s="19">
        <f>ROUND(E92-H92,2)</f>
        <v/>
      </c>
    </row>
    <row r="93">
      <c r="A93" s="15" t="inlineStr">
        <is>
          <t>B089</t>
        </is>
      </c>
      <c r="B93" s="15" t="inlineStr">
        <is>
          <t>B</t>
        </is>
      </c>
      <c r="C93" s="15" t="inlineStr">
        <is>
          <t>5</t>
        </is>
      </c>
      <c r="D93" s="15" t="n">
        <v>0.75</v>
      </c>
      <c r="E93" s="17" t="n">
        <v>112.5</v>
      </c>
      <c r="F93" s="15" t="b">
        <v>1</v>
      </c>
      <c r="G93" s="19">
        <f>ROUND((INDEX(CCNL!$G$5:$G$12,MATCH(C93,CCNL!$A$5:$A$12,0))-INDEX(CCNL!$F$5:$F$12,MATCH(C93,CCNL!$A$5:$A$12,0)))*D93,2)</f>
        <v/>
      </c>
      <c r="H93" s="19">
        <f>IF(F93,MIN(E93,G93),0)</f>
        <v/>
      </c>
      <c r="I93" s="19">
        <f>ROUND(G93-H93,2)</f>
        <v/>
      </c>
      <c r="J93" s="19">
        <f>ROUND(INDEX(CCNL!$G$5:$G$12,MATCH(C93,CCNL!$A$5:$A$12,0))*D93,2)</f>
        <v/>
      </c>
      <c r="K93" s="19">
        <f>ROUND(E93-H93,2)</f>
        <v/>
      </c>
    </row>
    <row r="94">
      <c r="A94" s="15" t="inlineStr">
        <is>
          <t>B090</t>
        </is>
      </c>
      <c r="B94" s="15" t="inlineStr">
        <is>
          <t>B</t>
        </is>
      </c>
      <c r="C94" s="15" t="inlineStr">
        <is>
          <t>2</t>
        </is>
      </c>
      <c r="D94" s="15" t="n">
        <v>1</v>
      </c>
      <c r="E94" s="17" t="n">
        <v>0</v>
      </c>
      <c r="F94" s="15" t="b">
        <v>1</v>
      </c>
      <c r="G94" s="19">
        <f>ROUND((INDEX(CCNL!$G$5:$G$12,MATCH(C94,CCNL!$A$5:$A$12,0))-INDEX(CCNL!$F$5:$F$12,MATCH(C94,CCNL!$A$5:$A$12,0)))*D94,2)</f>
        <v/>
      </c>
      <c r="H94" s="19">
        <f>IF(F94,MIN(E94,G94),0)</f>
        <v/>
      </c>
      <c r="I94" s="19">
        <f>ROUND(G94-H94,2)</f>
        <v/>
      </c>
      <c r="J94" s="19">
        <f>ROUND(INDEX(CCNL!$G$5:$G$12,MATCH(C94,CCNL!$A$5:$A$12,0))*D94,2)</f>
        <v/>
      </c>
      <c r="K94" s="19">
        <f>ROUND(E94-H94,2)</f>
        <v/>
      </c>
    </row>
    <row r="95">
      <c r="A95" s="15" t="inlineStr">
        <is>
          <t>B091</t>
        </is>
      </c>
      <c r="B95" s="15" t="inlineStr">
        <is>
          <t>B</t>
        </is>
      </c>
      <c r="C95" s="15" t="inlineStr">
        <is>
          <t>5</t>
        </is>
      </c>
      <c r="D95" s="15" t="n">
        <v>1</v>
      </c>
      <c r="E95" s="17" t="n">
        <v>50</v>
      </c>
      <c r="F95" s="15" t="b">
        <v>1</v>
      </c>
      <c r="G95" s="19">
        <f>ROUND((INDEX(CCNL!$G$5:$G$12,MATCH(C95,CCNL!$A$5:$A$12,0))-INDEX(CCNL!$F$5:$F$12,MATCH(C95,CCNL!$A$5:$A$12,0)))*D95,2)</f>
        <v/>
      </c>
      <c r="H95" s="19">
        <f>IF(F95,MIN(E95,G95),0)</f>
        <v/>
      </c>
      <c r="I95" s="19">
        <f>ROUND(G95-H95,2)</f>
        <v/>
      </c>
      <c r="J95" s="19">
        <f>ROUND(INDEX(CCNL!$G$5:$G$12,MATCH(C95,CCNL!$A$5:$A$12,0))*D95,2)</f>
        <v/>
      </c>
      <c r="K95" s="19">
        <f>ROUND(E95-H95,2)</f>
        <v/>
      </c>
    </row>
    <row r="96">
      <c r="A96" s="15" t="inlineStr">
        <is>
          <t>B092</t>
        </is>
      </c>
      <c r="B96" s="15" t="inlineStr">
        <is>
          <t>B</t>
        </is>
      </c>
      <c r="C96" s="15" t="inlineStr">
        <is>
          <t>5</t>
        </is>
      </c>
      <c r="D96" s="15" t="n">
        <v>1</v>
      </c>
      <c r="E96" s="17" t="n">
        <v>50</v>
      </c>
      <c r="F96" s="15" t="b">
        <v>1</v>
      </c>
      <c r="G96" s="19">
        <f>ROUND((INDEX(CCNL!$G$5:$G$12,MATCH(C96,CCNL!$A$5:$A$12,0))-INDEX(CCNL!$F$5:$F$12,MATCH(C96,CCNL!$A$5:$A$12,0)))*D96,2)</f>
        <v/>
      </c>
      <c r="H96" s="19">
        <f>IF(F96,MIN(E96,G96),0)</f>
        <v/>
      </c>
      <c r="I96" s="19">
        <f>ROUND(G96-H96,2)</f>
        <v/>
      </c>
      <c r="J96" s="19">
        <f>ROUND(INDEX(CCNL!$G$5:$G$12,MATCH(C96,CCNL!$A$5:$A$12,0))*D96,2)</f>
        <v/>
      </c>
      <c r="K96" s="19">
        <f>ROUND(E96-H96,2)</f>
        <v/>
      </c>
    </row>
    <row r="97">
      <c r="A97" s="15" t="inlineStr">
        <is>
          <t>C093</t>
        </is>
      </c>
      <c r="B97" s="15" t="inlineStr">
        <is>
          <t>C</t>
        </is>
      </c>
      <c r="C97" s="15" t="inlineStr">
        <is>
          <t>3</t>
        </is>
      </c>
      <c r="D97" s="15" t="n">
        <v>1</v>
      </c>
      <c r="E97" s="17" t="n">
        <v>0</v>
      </c>
      <c r="F97" s="15" t="b">
        <v>1</v>
      </c>
      <c r="G97" s="19">
        <f>ROUND((INDEX(CCNL!$G$5:$G$12,MATCH(C97,CCNL!$A$5:$A$12,0))-INDEX(CCNL!$F$5:$F$12,MATCH(C97,CCNL!$A$5:$A$12,0)))*D97,2)</f>
        <v/>
      </c>
      <c r="H97" s="19">
        <f>IF(F97,MIN(E97,G97),0)</f>
        <v/>
      </c>
      <c r="I97" s="19">
        <f>ROUND(G97-H97,2)</f>
        <v/>
      </c>
      <c r="J97" s="19">
        <f>ROUND(INDEX(CCNL!$G$5:$G$12,MATCH(C97,CCNL!$A$5:$A$12,0))*D97,2)</f>
        <v/>
      </c>
      <c r="K97" s="19">
        <f>ROUND(E97-H97,2)</f>
        <v/>
      </c>
    </row>
    <row r="98">
      <c r="A98" s="15" t="inlineStr">
        <is>
          <t>C094</t>
        </is>
      </c>
      <c r="B98" s="15" t="inlineStr">
        <is>
          <t>C</t>
        </is>
      </c>
      <c r="C98" s="15" t="inlineStr">
        <is>
          <t>3</t>
        </is>
      </c>
      <c r="D98" s="15" t="n">
        <v>0.5</v>
      </c>
      <c r="E98" s="17" t="n">
        <v>0</v>
      </c>
      <c r="F98" s="15" t="b">
        <v>0</v>
      </c>
      <c r="G98" s="19">
        <f>ROUND((INDEX(CCNL!$G$5:$G$12,MATCH(C98,CCNL!$A$5:$A$12,0))-INDEX(CCNL!$F$5:$F$12,MATCH(C98,CCNL!$A$5:$A$12,0)))*D98,2)</f>
        <v/>
      </c>
      <c r="H98" s="19">
        <f>IF(F98,MIN(E98,G98),0)</f>
        <v/>
      </c>
      <c r="I98" s="19">
        <f>ROUND(G98-H98,2)</f>
        <v/>
      </c>
      <c r="J98" s="19">
        <f>ROUND(INDEX(CCNL!$G$5:$G$12,MATCH(C98,CCNL!$A$5:$A$12,0))*D98,2)</f>
        <v/>
      </c>
      <c r="K98" s="19">
        <f>ROUND(E98-H98,2)</f>
        <v/>
      </c>
    </row>
    <row r="99">
      <c r="A99" s="15" t="inlineStr">
        <is>
          <t>C095</t>
        </is>
      </c>
      <c r="B99" s="15" t="inlineStr">
        <is>
          <t>C</t>
        </is>
      </c>
      <c r="C99" s="15" t="inlineStr">
        <is>
          <t>3</t>
        </is>
      </c>
      <c r="D99" s="15" t="n">
        <v>0.5</v>
      </c>
      <c r="E99" s="17" t="n">
        <v>75</v>
      </c>
      <c r="F99" s="15" t="b">
        <v>1</v>
      </c>
      <c r="G99" s="19">
        <f>ROUND((INDEX(CCNL!$G$5:$G$12,MATCH(C99,CCNL!$A$5:$A$12,0))-INDEX(CCNL!$F$5:$F$12,MATCH(C99,CCNL!$A$5:$A$12,0)))*D99,2)</f>
        <v/>
      </c>
      <c r="H99" s="19">
        <f>IF(F99,MIN(E99,G99),0)</f>
        <v/>
      </c>
      <c r="I99" s="19">
        <f>ROUND(G99-H99,2)</f>
        <v/>
      </c>
      <c r="J99" s="19">
        <f>ROUND(INDEX(CCNL!$G$5:$G$12,MATCH(C99,CCNL!$A$5:$A$12,0))*D99,2)</f>
        <v/>
      </c>
      <c r="K99" s="19">
        <f>ROUND(E99-H99,2)</f>
        <v/>
      </c>
    </row>
    <row r="100">
      <c r="A100" s="15" t="inlineStr">
        <is>
          <t>C096</t>
        </is>
      </c>
      <c r="B100" s="15" t="inlineStr">
        <is>
          <t>C</t>
        </is>
      </c>
      <c r="C100" s="15" t="inlineStr">
        <is>
          <t>4</t>
        </is>
      </c>
      <c r="D100" s="15" t="n">
        <v>1</v>
      </c>
      <c r="E100" s="17" t="n">
        <v>120</v>
      </c>
      <c r="F100" s="15" t="b">
        <v>0</v>
      </c>
      <c r="G100" s="19">
        <f>ROUND((INDEX(CCNL!$G$5:$G$12,MATCH(C100,CCNL!$A$5:$A$12,0))-INDEX(CCNL!$F$5:$F$12,MATCH(C100,CCNL!$A$5:$A$12,0)))*D100,2)</f>
        <v/>
      </c>
      <c r="H100" s="19">
        <f>IF(F100,MIN(E100,G100),0)</f>
        <v/>
      </c>
      <c r="I100" s="19">
        <f>ROUND(G100-H100,2)</f>
        <v/>
      </c>
      <c r="J100" s="19">
        <f>ROUND(INDEX(CCNL!$G$5:$G$12,MATCH(C100,CCNL!$A$5:$A$12,0))*D100,2)</f>
        <v/>
      </c>
      <c r="K100" s="19">
        <f>ROUND(E100-H100,2)</f>
        <v/>
      </c>
    </row>
    <row r="101">
      <c r="A101" s="15" t="inlineStr">
        <is>
          <t>C097</t>
        </is>
      </c>
      <c r="B101" s="15" t="inlineStr">
        <is>
          <t>C</t>
        </is>
      </c>
      <c r="C101" s="15" t="inlineStr">
        <is>
          <t>6</t>
        </is>
      </c>
      <c r="D101" s="15" t="n">
        <v>1</v>
      </c>
      <c r="E101" s="17" t="n">
        <v>0</v>
      </c>
      <c r="F101" s="15" t="b">
        <v>0</v>
      </c>
      <c r="G101" s="19">
        <f>ROUND((INDEX(CCNL!$G$5:$G$12,MATCH(C101,CCNL!$A$5:$A$12,0))-INDEX(CCNL!$F$5:$F$12,MATCH(C101,CCNL!$A$5:$A$12,0)))*D101,2)</f>
        <v/>
      </c>
      <c r="H101" s="19">
        <f>IF(F101,MIN(E101,G101),0)</f>
        <v/>
      </c>
      <c r="I101" s="19">
        <f>ROUND(G101-H101,2)</f>
        <v/>
      </c>
      <c r="J101" s="19">
        <f>ROUND(INDEX(CCNL!$G$5:$G$12,MATCH(C101,CCNL!$A$5:$A$12,0))*D101,2)</f>
        <v/>
      </c>
      <c r="K101" s="19">
        <f>ROUND(E101-H101,2)</f>
        <v/>
      </c>
    </row>
    <row r="102">
      <c r="A102" s="15" t="inlineStr">
        <is>
          <t>C098</t>
        </is>
      </c>
      <c r="B102" s="15" t="inlineStr">
        <is>
          <t>C</t>
        </is>
      </c>
      <c r="C102" s="15" t="inlineStr">
        <is>
          <t>3</t>
        </is>
      </c>
      <c r="D102" s="15" t="n">
        <v>1</v>
      </c>
      <c r="E102" s="17" t="n">
        <v>50</v>
      </c>
      <c r="F102" s="15" t="b">
        <v>1</v>
      </c>
      <c r="G102" s="19">
        <f>ROUND((INDEX(CCNL!$G$5:$G$12,MATCH(C102,CCNL!$A$5:$A$12,0))-INDEX(CCNL!$F$5:$F$12,MATCH(C102,CCNL!$A$5:$A$12,0)))*D102,2)</f>
        <v/>
      </c>
      <c r="H102" s="19">
        <f>IF(F102,MIN(E102,G102),0)</f>
        <v/>
      </c>
      <c r="I102" s="19">
        <f>ROUND(G102-H102,2)</f>
        <v/>
      </c>
      <c r="J102" s="19">
        <f>ROUND(INDEX(CCNL!$G$5:$G$12,MATCH(C102,CCNL!$A$5:$A$12,0))*D102,2)</f>
        <v/>
      </c>
      <c r="K102" s="19">
        <f>ROUND(E102-H102,2)</f>
        <v/>
      </c>
    </row>
    <row r="103">
      <c r="A103" s="15" t="inlineStr">
        <is>
          <t>C099</t>
        </is>
      </c>
      <c r="B103" s="15" t="inlineStr">
        <is>
          <t>C</t>
        </is>
      </c>
      <c r="C103" s="15" t="inlineStr">
        <is>
          <t>4</t>
        </is>
      </c>
      <c r="D103" s="15" t="n">
        <v>1</v>
      </c>
      <c r="E103" s="17" t="n">
        <v>150</v>
      </c>
      <c r="F103" s="15" t="b">
        <v>1</v>
      </c>
      <c r="G103" s="19">
        <f>ROUND((INDEX(CCNL!$G$5:$G$12,MATCH(C103,CCNL!$A$5:$A$12,0))-INDEX(CCNL!$F$5:$F$12,MATCH(C103,CCNL!$A$5:$A$12,0)))*D103,2)</f>
        <v/>
      </c>
      <c r="H103" s="19">
        <f>IF(F103,MIN(E103,G103),0)</f>
        <v/>
      </c>
      <c r="I103" s="19">
        <f>ROUND(G103-H103,2)</f>
        <v/>
      </c>
      <c r="J103" s="19">
        <f>ROUND(INDEX(CCNL!$G$5:$G$12,MATCH(C103,CCNL!$A$5:$A$12,0))*D103,2)</f>
        <v/>
      </c>
      <c r="K103" s="19">
        <f>ROUND(E103-H103,2)</f>
        <v/>
      </c>
    </row>
    <row r="104">
      <c r="A104" s="15" t="inlineStr">
        <is>
          <t>C100</t>
        </is>
      </c>
      <c r="B104" s="15" t="inlineStr">
        <is>
          <t>C</t>
        </is>
      </c>
      <c r="C104" s="15" t="inlineStr">
        <is>
          <t>4</t>
        </is>
      </c>
      <c r="D104" s="15" t="n">
        <v>0.75</v>
      </c>
      <c r="E104" s="17" t="n">
        <v>150</v>
      </c>
      <c r="F104" s="15" t="b">
        <v>1</v>
      </c>
      <c r="G104" s="19">
        <f>ROUND((INDEX(CCNL!$G$5:$G$12,MATCH(C104,CCNL!$A$5:$A$12,0))-INDEX(CCNL!$F$5:$F$12,MATCH(C104,CCNL!$A$5:$A$12,0)))*D104,2)</f>
        <v/>
      </c>
      <c r="H104" s="19">
        <f>IF(F104,MIN(E104,G104),0)</f>
        <v/>
      </c>
      <c r="I104" s="19">
        <f>ROUND(G104-H104,2)</f>
        <v/>
      </c>
      <c r="J104" s="19">
        <f>ROUND(INDEX(CCNL!$G$5:$G$12,MATCH(C104,CCNL!$A$5:$A$12,0))*D104,2)</f>
        <v/>
      </c>
      <c r="K104" s="19">
        <f>ROUND(E104-H104,2)</f>
        <v/>
      </c>
    </row>
    <row r="105">
      <c r="A105" s="15" t="inlineStr">
        <is>
          <t>C101</t>
        </is>
      </c>
      <c r="B105" s="15" t="inlineStr">
        <is>
          <t>C</t>
        </is>
      </c>
      <c r="C105" s="15" t="inlineStr">
        <is>
          <t>5</t>
        </is>
      </c>
      <c r="D105" s="15" t="n">
        <v>1</v>
      </c>
      <c r="E105" s="17" t="n">
        <v>80</v>
      </c>
      <c r="F105" s="15" t="b">
        <v>0</v>
      </c>
      <c r="G105" s="19">
        <f>ROUND((INDEX(CCNL!$G$5:$G$12,MATCH(C105,CCNL!$A$5:$A$12,0))-INDEX(CCNL!$F$5:$F$12,MATCH(C105,CCNL!$A$5:$A$12,0)))*D105,2)</f>
        <v/>
      </c>
      <c r="H105" s="19">
        <f>IF(F105,MIN(E105,G105),0)</f>
        <v/>
      </c>
      <c r="I105" s="19">
        <f>ROUND(G105-H105,2)</f>
        <v/>
      </c>
      <c r="J105" s="19">
        <f>ROUND(INDEX(CCNL!$G$5:$G$12,MATCH(C105,CCNL!$A$5:$A$12,0))*D105,2)</f>
        <v/>
      </c>
      <c r="K105" s="19">
        <f>ROUND(E105-H105,2)</f>
        <v/>
      </c>
    </row>
    <row r="106">
      <c r="A106" s="15" t="inlineStr">
        <is>
          <t>C102</t>
        </is>
      </c>
      <c r="B106" s="15" t="inlineStr">
        <is>
          <t>C</t>
        </is>
      </c>
      <c r="C106" s="15" t="inlineStr">
        <is>
          <t>5</t>
        </is>
      </c>
      <c r="D106" s="15" t="n">
        <v>0.75</v>
      </c>
      <c r="E106" s="17" t="n">
        <v>90</v>
      </c>
      <c r="F106" s="15" t="b">
        <v>1</v>
      </c>
      <c r="G106" s="19">
        <f>ROUND((INDEX(CCNL!$G$5:$G$12,MATCH(C106,CCNL!$A$5:$A$12,0))-INDEX(CCNL!$F$5:$F$12,MATCH(C106,CCNL!$A$5:$A$12,0)))*D106,2)</f>
        <v/>
      </c>
      <c r="H106" s="19">
        <f>IF(F106,MIN(E106,G106),0)</f>
        <v/>
      </c>
      <c r="I106" s="19">
        <f>ROUND(G106-H106,2)</f>
        <v/>
      </c>
      <c r="J106" s="19">
        <f>ROUND(INDEX(CCNL!$G$5:$G$12,MATCH(C106,CCNL!$A$5:$A$12,0))*D106,2)</f>
        <v/>
      </c>
      <c r="K106" s="19">
        <f>ROUND(E106-H106,2)</f>
        <v/>
      </c>
    </row>
    <row r="107">
      <c r="A107" s="15" t="inlineStr">
        <is>
          <t>C103</t>
        </is>
      </c>
      <c r="B107" s="15" t="inlineStr">
        <is>
          <t>C</t>
        </is>
      </c>
      <c r="C107" s="15" t="inlineStr">
        <is>
          <t>2</t>
        </is>
      </c>
      <c r="D107" s="15" t="n">
        <v>0.75</v>
      </c>
      <c r="E107" s="17" t="n">
        <v>37.5</v>
      </c>
      <c r="F107" s="15" t="b">
        <v>1</v>
      </c>
      <c r="G107" s="19">
        <f>ROUND((INDEX(CCNL!$G$5:$G$12,MATCH(C107,CCNL!$A$5:$A$12,0))-INDEX(CCNL!$F$5:$F$12,MATCH(C107,CCNL!$A$5:$A$12,0)))*D107,2)</f>
        <v/>
      </c>
      <c r="H107" s="19">
        <f>IF(F107,MIN(E107,G107),0)</f>
        <v/>
      </c>
      <c r="I107" s="19">
        <f>ROUND(G107-H107,2)</f>
        <v/>
      </c>
      <c r="J107" s="19">
        <f>ROUND(INDEX(CCNL!$G$5:$G$12,MATCH(C107,CCNL!$A$5:$A$12,0))*D107,2)</f>
        <v/>
      </c>
      <c r="K107" s="19">
        <f>ROUND(E107-H107,2)</f>
        <v/>
      </c>
    </row>
    <row r="108">
      <c r="A108" s="15" t="inlineStr">
        <is>
          <t>C104</t>
        </is>
      </c>
      <c r="B108" s="15" t="inlineStr">
        <is>
          <t>C</t>
        </is>
      </c>
      <c r="C108" s="15" t="inlineStr">
        <is>
          <t>7</t>
        </is>
      </c>
      <c r="D108" s="15" t="n">
        <v>0.75</v>
      </c>
      <c r="E108" s="17" t="n">
        <v>0</v>
      </c>
      <c r="F108" s="15" t="b">
        <v>1</v>
      </c>
      <c r="G108" s="19">
        <f>ROUND((INDEX(CCNL!$G$5:$G$12,MATCH(C108,CCNL!$A$5:$A$12,0))-INDEX(CCNL!$F$5:$F$12,MATCH(C108,CCNL!$A$5:$A$12,0)))*D108,2)</f>
        <v/>
      </c>
      <c r="H108" s="19">
        <f>IF(F108,MIN(E108,G108),0)</f>
        <v/>
      </c>
      <c r="I108" s="19">
        <f>ROUND(G108-H108,2)</f>
        <v/>
      </c>
      <c r="J108" s="19">
        <f>ROUND(INDEX(CCNL!$G$5:$G$12,MATCH(C108,CCNL!$A$5:$A$12,0))*D108,2)</f>
        <v/>
      </c>
      <c r="K108" s="19">
        <f>ROUND(E108-H108,2)</f>
        <v/>
      </c>
    </row>
    <row r="109">
      <c r="A109" s="15" t="inlineStr">
        <is>
          <t>C105</t>
        </is>
      </c>
      <c r="B109" s="15" t="inlineStr">
        <is>
          <t>C</t>
        </is>
      </c>
      <c r="C109" s="15" t="inlineStr">
        <is>
          <t>Quadri</t>
        </is>
      </c>
      <c r="D109" s="15" t="n">
        <v>1</v>
      </c>
      <c r="E109" s="17" t="n">
        <v>300</v>
      </c>
      <c r="F109" s="15" t="b">
        <v>1</v>
      </c>
      <c r="G109" s="19">
        <f>ROUND((INDEX(CCNL!$G$5:$G$12,MATCH(C109,CCNL!$A$5:$A$12,0))-INDEX(CCNL!$F$5:$F$12,MATCH(C109,CCNL!$A$5:$A$12,0)))*D109,2)</f>
        <v/>
      </c>
      <c r="H109" s="19">
        <f>IF(F109,MIN(E109,G109),0)</f>
        <v/>
      </c>
      <c r="I109" s="19">
        <f>ROUND(G109-H109,2)</f>
        <v/>
      </c>
      <c r="J109" s="19">
        <f>ROUND(INDEX(CCNL!$G$5:$G$12,MATCH(C109,CCNL!$A$5:$A$12,0))*D109,2)</f>
        <v/>
      </c>
      <c r="K109" s="19">
        <f>ROUND(E109-H109,2)</f>
        <v/>
      </c>
    </row>
    <row r="110">
      <c r="A110" s="15" t="inlineStr">
        <is>
          <t>C106</t>
        </is>
      </c>
      <c r="B110" s="15" t="inlineStr">
        <is>
          <t>C</t>
        </is>
      </c>
      <c r="C110" s="15" t="inlineStr">
        <is>
          <t>4</t>
        </is>
      </c>
      <c r="D110" s="15" t="n">
        <v>1</v>
      </c>
      <c r="E110" s="17" t="n">
        <v>0</v>
      </c>
      <c r="F110" s="15" t="b">
        <v>1</v>
      </c>
      <c r="G110" s="19">
        <f>ROUND((INDEX(CCNL!$G$5:$G$12,MATCH(C110,CCNL!$A$5:$A$12,0))-INDEX(CCNL!$F$5:$F$12,MATCH(C110,CCNL!$A$5:$A$12,0)))*D110,2)</f>
        <v/>
      </c>
      <c r="H110" s="19">
        <f>IF(F110,MIN(E110,G110),0)</f>
        <v/>
      </c>
      <c r="I110" s="19">
        <f>ROUND(G110-H110,2)</f>
        <v/>
      </c>
      <c r="J110" s="19">
        <f>ROUND(INDEX(CCNL!$G$5:$G$12,MATCH(C110,CCNL!$A$5:$A$12,0))*D110,2)</f>
        <v/>
      </c>
      <c r="K110" s="19">
        <f>ROUND(E110-H110,2)</f>
        <v/>
      </c>
    </row>
    <row r="111">
      <c r="A111" s="15" t="inlineStr">
        <is>
          <t>C107</t>
        </is>
      </c>
      <c r="B111" s="15" t="inlineStr">
        <is>
          <t>C</t>
        </is>
      </c>
      <c r="C111" s="15" t="inlineStr">
        <is>
          <t>5</t>
        </is>
      </c>
      <c r="D111" s="15" t="n">
        <v>0.75</v>
      </c>
      <c r="E111" s="17" t="n">
        <v>112.5</v>
      </c>
      <c r="F111" s="15" t="b">
        <v>1</v>
      </c>
      <c r="G111" s="19">
        <f>ROUND((INDEX(CCNL!$G$5:$G$12,MATCH(C111,CCNL!$A$5:$A$12,0))-INDEX(CCNL!$F$5:$F$12,MATCH(C111,CCNL!$A$5:$A$12,0)))*D111,2)</f>
        <v/>
      </c>
      <c r="H111" s="19">
        <f>IF(F111,MIN(E111,G111),0)</f>
        <v/>
      </c>
      <c r="I111" s="19">
        <f>ROUND(G111-H111,2)</f>
        <v/>
      </c>
      <c r="J111" s="19">
        <f>ROUND(INDEX(CCNL!$G$5:$G$12,MATCH(C111,CCNL!$A$5:$A$12,0))*D111,2)</f>
        <v/>
      </c>
      <c r="K111" s="19">
        <f>ROUND(E111-H111,2)</f>
        <v/>
      </c>
    </row>
    <row r="112">
      <c r="A112" s="15" t="inlineStr">
        <is>
          <t>C108</t>
        </is>
      </c>
      <c r="B112" s="15" t="inlineStr">
        <is>
          <t>C</t>
        </is>
      </c>
      <c r="C112" s="15" t="inlineStr">
        <is>
          <t>6</t>
        </is>
      </c>
      <c r="D112" s="15" t="n">
        <v>1</v>
      </c>
      <c r="E112" s="17" t="n">
        <v>50</v>
      </c>
      <c r="F112" s="15" t="b">
        <v>0</v>
      </c>
      <c r="G112" s="19">
        <f>ROUND((INDEX(CCNL!$G$5:$G$12,MATCH(C112,CCNL!$A$5:$A$12,0))-INDEX(CCNL!$F$5:$F$12,MATCH(C112,CCNL!$A$5:$A$12,0)))*D112,2)</f>
        <v/>
      </c>
      <c r="H112" s="19">
        <f>IF(F112,MIN(E112,G112),0)</f>
        <v/>
      </c>
      <c r="I112" s="19">
        <f>ROUND(G112-H112,2)</f>
        <v/>
      </c>
      <c r="J112" s="19">
        <f>ROUND(INDEX(CCNL!$G$5:$G$12,MATCH(C112,CCNL!$A$5:$A$12,0))*D112,2)</f>
        <v/>
      </c>
      <c r="K112" s="19">
        <f>ROUND(E112-H112,2)</f>
        <v/>
      </c>
    </row>
    <row r="113">
      <c r="A113" s="15" t="inlineStr">
        <is>
          <t>C109</t>
        </is>
      </c>
      <c r="B113" s="15" t="inlineStr">
        <is>
          <t>C</t>
        </is>
      </c>
      <c r="C113" s="15" t="inlineStr">
        <is>
          <t>5</t>
        </is>
      </c>
      <c r="D113" s="15" t="n">
        <v>1</v>
      </c>
      <c r="E113" s="17" t="n">
        <v>0</v>
      </c>
      <c r="F113" s="15" t="b">
        <v>0</v>
      </c>
      <c r="G113" s="19">
        <f>ROUND((INDEX(CCNL!$G$5:$G$12,MATCH(C113,CCNL!$A$5:$A$12,0))-INDEX(CCNL!$F$5:$F$12,MATCH(C113,CCNL!$A$5:$A$12,0)))*D113,2)</f>
        <v/>
      </c>
      <c r="H113" s="19">
        <f>IF(F113,MIN(E113,G113),0)</f>
        <v/>
      </c>
      <c r="I113" s="19">
        <f>ROUND(G113-H113,2)</f>
        <v/>
      </c>
      <c r="J113" s="19">
        <f>ROUND(INDEX(CCNL!$G$5:$G$12,MATCH(C113,CCNL!$A$5:$A$12,0))*D113,2)</f>
        <v/>
      </c>
      <c r="K113" s="19">
        <f>ROUND(E113-H113,2)</f>
        <v/>
      </c>
    </row>
    <row r="114">
      <c r="A114" s="15" t="inlineStr">
        <is>
          <t>C110</t>
        </is>
      </c>
      <c r="B114" s="15" t="inlineStr">
        <is>
          <t>C</t>
        </is>
      </c>
      <c r="C114" s="15" t="inlineStr">
        <is>
          <t>5</t>
        </is>
      </c>
      <c r="D114" s="15" t="n">
        <v>1</v>
      </c>
      <c r="E114" s="17" t="n">
        <v>0</v>
      </c>
      <c r="F114" s="15" t="b">
        <v>1</v>
      </c>
      <c r="G114" s="19">
        <f>ROUND((INDEX(CCNL!$G$5:$G$12,MATCH(C114,CCNL!$A$5:$A$12,0))-INDEX(CCNL!$F$5:$F$12,MATCH(C114,CCNL!$A$5:$A$12,0)))*D114,2)</f>
        <v/>
      </c>
      <c r="H114" s="19">
        <f>IF(F114,MIN(E114,G114),0)</f>
        <v/>
      </c>
      <c r="I114" s="19">
        <f>ROUND(G114-H114,2)</f>
        <v/>
      </c>
      <c r="J114" s="19">
        <f>ROUND(INDEX(CCNL!$G$5:$G$12,MATCH(C114,CCNL!$A$5:$A$12,0))*D114,2)</f>
        <v/>
      </c>
      <c r="K114" s="19">
        <f>ROUND(E114-H114,2)</f>
        <v/>
      </c>
    </row>
    <row r="115">
      <c r="A115" s="15" t="inlineStr">
        <is>
          <t>C111</t>
        </is>
      </c>
      <c r="B115" s="15" t="inlineStr">
        <is>
          <t>C</t>
        </is>
      </c>
      <c r="C115" s="15" t="inlineStr">
        <is>
          <t>3</t>
        </is>
      </c>
      <c r="D115" s="15" t="n">
        <v>1</v>
      </c>
      <c r="E115" s="17" t="n">
        <v>0</v>
      </c>
      <c r="F115" s="15" t="b">
        <v>0</v>
      </c>
      <c r="G115" s="19">
        <f>ROUND((INDEX(CCNL!$G$5:$G$12,MATCH(C115,CCNL!$A$5:$A$12,0))-INDEX(CCNL!$F$5:$F$12,MATCH(C115,CCNL!$A$5:$A$12,0)))*D115,2)</f>
        <v/>
      </c>
      <c r="H115" s="19">
        <f>IF(F115,MIN(E115,G115),0)</f>
        <v/>
      </c>
      <c r="I115" s="19">
        <f>ROUND(G115-H115,2)</f>
        <v/>
      </c>
      <c r="J115" s="19">
        <f>ROUND(INDEX(CCNL!$G$5:$G$12,MATCH(C115,CCNL!$A$5:$A$12,0))*D115,2)</f>
        <v/>
      </c>
      <c r="K115" s="19">
        <f>ROUND(E115-H115,2)</f>
        <v/>
      </c>
    </row>
    <row r="116">
      <c r="A116" s="15" t="inlineStr">
        <is>
          <t>C112</t>
        </is>
      </c>
      <c r="B116" s="15" t="inlineStr">
        <is>
          <t>C</t>
        </is>
      </c>
      <c r="C116" s="15" t="inlineStr">
        <is>
          <t>3</t>
        </is>
      </c>
      <c r="D116" s="15" t="n">
        <v>0.5</v>
      </c>
      <c r="E116" s="17" t="n">
        <v>0</v>
      </c>
      <c r="F116" s="15" t="b">
        <v>1</v>
      </c>
      <c r="G116" s="19">
        <f>ROUND((INDEX(CCNL!$G$5:$G$12,MATCH(C116,CCNL!$A$5:$A$12,0))-INDEX(CCNL!$F$5:$F$12,MATCH(C116,CCNL!$A$5:$A$12,0)))*D116,2)</f>
        <v/>
      </c>
      <c r="H116" s="19">
        <f>IF(F116,MIN(E116,G116),0)</f>
        <v/>
      </c>
      <c r="I116" s="19">
        <f>ROUND(G116-H116,2)</f>
        <v/>
      </c>
      <c r="J116" s="19">
        <f>ROUND(INDEX(CCNL!$G$5:$G$12,MATCH(C116,CCNL!$A$5:$A$12,0))*D116,2)</f>
        <v/>
      </c>
      <c r="K116" s="19">
        <f>ROUND(E116-H116,2)</f>
        <v/>
      </c>
    </row>
    <row r="117">
      <c r="A117" s="15" t="inlineStr">
        <is>
          <t>C113</t>
        </is>
      </c>
      <c r="B117" s="15" t="inlineStr">
        <is>
          <t>C</t>
        </is>
      </c>
      <c r="C117" s="15" t="inlineStr">
        <is>
          <t>3</t>
        </is>
      </c>
      <c r="D117" s="15" t="n">
        <v>1</v>
      </c>
      <c r="E117" s="17" t="n">
        <v>0</v>
      </c>
      <c r="F117" s="15" t="b">
        <v>1</v>
      </c>
      <c r="G117" s="19">
        <f>ROUND((INDEX(CCNL!$G$5:$G$12,MATCH(C117,CCNL!$A$5:$A$12,0))-INDEX(CCNL!$F$5:$F$12,MATCH(C117,CCNL!$A$5:$A$12,0)))*D117,2)</f>
        <v/>
      </c>
      <c r="H117" s="19">
        <f>IF(F117,MIN(E117,G117),0)</f>
        <v/>
      </c>
      <c r="I117" s="19">
        <f>ROUND(G117-H117,2)</f>
        <v/>
      </c>
      <c r="J117" s="19">
        <f>ROUND(INDEX(CCNL!$G$5:$G$12,MATCH(C117,CCNL!$A$5:$A$12,0))*D117,2)</f>
        <v/>
      </c>
      <c r="K117" s="19">
        <f>ROUND(E117-H117,2)</f>
        <v/>
      </c>
    </row>
    <row r="118">
      <c r="A118" s="15" t="inlineStr">
        <is>
          <t>C114</t>
        </is>
      </c>
      <c r="B118" s="15" t="inlineStr">
        <is>
          <t>C</t>
        </is>
      </c>
      <c r="C118" s="15" t="inlineStr">
        <is>
          <t>3</t>
        </is>
      </c>
      <c r="D118" s="15" t="n">
        <v>1</v>
      </c>
      <c r="E118" s="17" t="n">
        <v>0</v>
      </c>
      <c r="F118" s="15" t="b">
        <v>1</v>
      </c>
      <c r="G118" s="19">
        <f>ROUND((INDEX(CCNL!$G$5:$G$12,MATCH(C118,CCNL!$A$5:$A$12,0))-INDEX(CCNL!$F$5:$F$12,MATCH(C118,CCNL!$A$5:$A$12,0)))*D118,2)</f>
        <v/>
      </c>
      <c r="H118" s="19">
        <f>IF(F118,MIN(E118,G118),0)</f>
        <v/>
      </c>
      <c r="I118" s="19">
        <f>ROUND(G118-H118,2)</f>
        <v/>
      </c>
      <c r="J118" s="19">
        <f>ROUND(INDEX(CCNL!$G$5:$G$12,MATCH(C118,CCNL!$A$5:$A$12,0))*D118,2)</f>
        <v/>
      </c>
      <c r="K118" s="19">
        <f>ROUND(E118-H118,2)</f>
        <v/>
      </c>
    </row>
    <row r="119">
      <c r="A119" s="15" t="inlineStr">
        <is>
          <t>C115</t>
        </is>
      </c>
      <c r="B119" s="15" t="inlineStr">
        <is>
          <t>C</t>
        </is>
      </c>
      <c r="C119" s="15" t="inlineStr">
        <is>
          <t>7</t>
        </is>
      </c>
      <c r="D119" s="15" t="n">
        <v>1</v>
      </c>
      <c r="E119" s="17" t="n">
        <v>0</v>
      </c>
      <c r="F119" s="15" t="b">
        <v>1</v>
      </c>
      <c r="G119" s="19">
        <f>ROUND((INDEX(CCNL!$G$5:$G$12,MATCH(C119,CCNL!$A$5:$A$12,0))-INDEX(CCNL!$F$5:$F$12,MATCH(C119,CCNL!$A$5:$A$12,0)))*D119,2)</f>
        <v/>
      </c>
      <c r="H119" s="19">
        <f>IF(F119,MIN(E119,G119),0)</f>
        <v/>
      </c>
      <c r="I119" s="19">
        <f>ROUND(G119-H119,2)</f>
        <v/>
      </c>
      <c r="J119" s="19">
        <f>ROUND(INDEX(CCNL!$G$5:$G$12,MATCH(C119,CCNL!$A$5:$A$12,0))*D119,2)</f>
        <v/>
      </c>
      <c r="K119" s="19">
        <f>ROUND(E119-H119,2)</f>
        <v/>
      </c>
    </row>
    <row r="120">
      <c r="A120" s="15" t="inlineStr">
        <is>
          <t>C116</t>
        </is>
      </c>
      <c r="B120" s="15" t="inlineStr">
        <is>
          <t>C</t>
        </is>
      </c>
      <c r="C120" s="15" t="inlineStr">
        <is>
          <t>3</t>
        </is>
      </c>
      <c r="D120" s="15" t="n">
        <v>1</v>
      </c>
      <c r="E120" s="17" t="n">
        <v>200</v>
      </c>
      <c r="F120" s="15" t="b">
        <v>1</v>
      </c>
      <c r="G120" s="19">
        <f>ROUND((INDEX(CCNL!$G$5:$G$12,MATCH(C120,CCNL!$A$5:$A$12,0))-INDEX(CCNL!$F$5:$F$12,MATCH(C120,CCNL!$A$5:$A$12,0)))*D120,2)</f>
        <v/>
      </c>
      <c r="H120" s="19">
        <f>IF(F120,MIN(E120,G120),0)</f>
        <v/>
      </c>
      <c r="I120" s="19">
        <f>ROUND(G120-H120,2)</f>
        <v/>
      </c>
      <c r="J120" s="19">
        <f>ROUND(INDEX(CCNL!$G$5:$G$12,MATCH(C120,CCNL!$A$5:$A$12,0))*D120,2)</f>
        <v/>
      </c>
      <c r="K120" s="19">
        <f>ROUND(E120-H120,2)</f>
        <v/>
      </c>
    </row>
    <row r="121">
      <c r="A121" s="15" t="inlineStr">
        <is>
          <t>C117</t>
        </is>
      </c>
      <c r="B121" s="15" t="inlineStr">
        <is>
          <t>C</t>
        </is>
      </c>
      <c r="C121" s="15" t="inlineStr">
        <is>
          <t>7</t>
        </is>
      </c>
      <c r="D121" s="15" t="n">
        <v>1</v>
      </c>
      <c r="E121" s="17" t="n">
        <v>0</v>
      </c>
      <c r="F121" s="15" t="b">
        <v>1</v>
      </c>
      <c r="G121" s="19">
        <f>ROUND((INDEX(CCNL!$G$5:$G$12,MATCH(C121,CCNL!$A$5:$A$12,0))-INDEX(CCNL!$F$5:$F$12,MATCH(C121,CCNL!$A$5:$A$12,0)))*D121,2)</f>
        <v/>
      </c>
      <c r="H121" s="19">
        <f>IF(F121,MIN(E121,G121),0)</f>
        <v/>
      </c>
      <c r="I121" s="19">
        <f>ROUND(G121-H121,2)</f>
        <v/>
      </c>
      <c r="J121" s="19">
        <f>ROUND(INDEX(CCNL!$G$5:$G$12,MATCH(C121,CCNL!$A$5:$A$12,0))*D121,2)</f>
        <v/>
      </c>
      <c r="K121" s="19">
        <f>ROUND(E121-H121,2)</f>
        <v/>
      </c>
    </row>
    <row r="122">
      <c r="A122" s="15" t="inlineStr">
        <is>
          <t>C118</t>
        </is>
      </c>
      <c r="B122" s="15" t="inlineStr">
        <is>
          <t>C</t>
        </is>
      </c>
      <c r="C122" s="15" t="inlineStr">
        <is>
          <t>4</t>
        </is>
      </c>
      <c r="D122" s="15" t="n">
        <v>1</v>
      </c>
      <c r="E122" s="17" t="n">
        <v>0</v>
      </c>
      <c r="F122" s="15" t="b">
        <v>1</v>
      </c>
      <c r="G122" s="19">
        <f>ROUND((INDEX(CCNL!$G$5:$G$12,MATCH(C122,CCNL!$A$5:$A$12,0))-INDEX(CCNL!$F$5:$F$12,MATCH(C122,CCNL!$A$5:$A$12,0)))*D122,2)</f>
        <v/>
      </c>
      <c r="H122" s="19">
        <f>IF(F122,MIN(E122,G122),0)</f>
        <v/>
      </c>
      <c r="I122" s="19">
        <f>ROUND(G122-H122,2)</f>
        <v/>
      </c>
      <c r="J122" s="19">
        <f>ROUND(INDEX(CCNL!$G$5:$G$12,MATCH(C122,CCNL!$A$5:$A$12,0))*D122,2)</f>
        <v/>
      </c>
      <c r="K122" s="19">
        <f>ROUND(E122-H122,2)</f>
        <v/>
      </c>
    </row>
    <row r="123">
      <c r="A123" s="15" t="inlineStr">
        <is>
          <t>C119</t>
        </is>
      </c>
      <c r="B123" s="15" t="inlineStr">
        <is>
          <t>C</t>
        </is>
      </c>
      <c r="C123" s="15" t="inlineStr">
        <is>
          <t>3</t>
        </is>
      </c>
      <c r="D123" s="15" t="n">
        <v>1</v>
      </c>
      <c r="E123" s="17" t="n">
        <v>150</v>
      </c>
      <c r="F123" s="15" t="b">
        <v>0</v>
      </c>
      <c r="G123" s="19">
        <f>ROUND((INDEX(CCNL!$G$5:$G$12,MATCH(C123,CCNL!$A$5:$A$12,0))-INDEX(CCNL!$F$5:$F$12,MATCH(C123,CCNL!$A$5:$A$12,0)))*D123,2)</f>
        <v/>
      </c>
      <c r="H123" s="19">
        <f>IF(F123,MIN(E123,G123),0)</f>
        <v/>
      </c>
      <c r="I123" s="19">
        <f>ROUND(G123-H123,2)</f>
        <v/>
      </c>
      <c r="J123" s="19">
        <f>ROUND(INDEX(CCNL!$G$5:$G$12,MATCH(C123,CCNL!$A$5:$A$12,0))*D123,2)</f>
        <v/>
      </c>
      <c r="K123" s="19">
        <f>ROUND(E123-H123,2)</f>
        <v/>
      </c>
    </row>
    <row r="124">
      <c r="A124" s="15" t="inlineStr">
        <is>
          <t>B200</t>
        </is>
      </c>
      <c r="B124" s="15" t="inlineStr">
        <is>
          <t>B</t>
        </is>
      </c>
      <c r="C124" s="15" t="inlineStr">
        <is>
          <t>5</t>
        </is>
      </c>
      <c r="D124" s="15" t="n">
        <v>1</v>
      </c>
      <c r="E124" s="17" t="n">
        <v>0</v>
      </c>
      <c r="F124" s="15" t="b">
        <v>1</v>
      </c>
      <c r="G124" s="19">
        <f>ROUND((INDEX(CCNL!$G$5:$G$12,MATCH(C124,CCNL!$A$5:$A$12,0))-INDEX(CCNL!$F$5:$F$12,MATCH(C124,CCNL!$A$5:$A$12,0)))*D124,2)</f>
        <v/>
      </c>
      <c r="H124" s="19">
        <f>IF(F124,MIN(E124,G124),0)</f>
        <v/>
      </c>
      <c r="I124" s="19">
        <f>ROUND(G124-H124,2)</f>
        <v/>
      </c>
      <c r="J124" s="19">
        <f>ROUND(INDEX(CCNL!$G$5:$G$12,MATCH(C124,CCNL!$A$5:$A$12,0))*D124,2)</f>
        <v/>
      </c>
      <c r="K124" s="19">
        <f>ROUND(E124-H124,2)</f>
        <v/>
      </c>
    </row>
    <row r="125">
      <c r="A125" s="15" t="inlineStr">
        <is>
          <t>B201</t>
        </is>
      </c>
      <c r="B125" s="15" t="inlineStr">
        <is>
          <t>B</t>
        </is>
      </c>
      <c r="C125" s="15" t="inlineStr">
        <is>
          <t>5</t>
        </is>
      </c>
      <c r="D125" s="15" t="n">
        <v>1</v>
      </c>
      <c r="E125" s="17" t="n">
        <v>0</v>
      </c>
      <c r="F125" s="15" t="b">
        <v>1</v>
      </c>
      <c r="G125" s="19">
        <f>ROUND((INDEX(CCNL!$G$5:$G$12,MATCH(C125,CCNL!$A$5:$A$12,0))-INDEX(CCNL!$F$5:$F$12,MATCH(C125,CCNL!$A$5:$A$12,0)))*D125,2)</f>
        <v/>
      </c>
      <c r="H125" s="19">
        <f>IF(F125,MIN(E125,G125),0)</f>
        <v/>
      </c>
      <c r="I125" s="19">
        <f>ROUND(G125-H125,2)</f>
        <v/>
      </c>
      <c r="J125" s="19">
        <f>ROUND(INDEX(CCNL!$G$5:$G$12,MATCH(C125,CCNL!$A$5:$A$12,0))*D125,2)</f>
        <v/>
      </c>
      <c r="K125" s="19">
        <f>ROUND(E125-H125,2)</f>
        <v/>
      </c>
    </row>
    <row r="126">
      <c r="A126" s="15" t="inlineStr">
        <is>
          <t>B202</t>
        </is>
      </c>
      <c r="B126" s="15" t="inlineStr">
        <is>
          <t>B</t>
        </is>
      </c>
      <c r="C126" s="15" t="inlineStr">
        <is>
          <t>5</t>
        </is>
      </c>
      <c r="D126" s="15" t="n">
        <v>1</v>
      </c>
      <c r="E126" s="17" t="n">
        <v>0</v>
      </c>
      <c r="F126" s="15" t="b">
        <v>1</v>
      </c>
      <c r="G126" s="19">
        <f>ROUND((INDEX(CCNL!$G$5:$G$12,MATCH(C126,CCNL!$A$5:$A$12,0))-INDEX(CCNL!$F$5:$F$12,MATCH(C126,CCNL!$A$5:$A$12,0)))*D126,2)</f>
        <v/>
      </c>
      <c r="H126" s="19">
        <f>IF(F126,MIN(E126,G126),0)</f>
        <v/>
      </c>
      <c r="I126" s="19">
        <f>ROUND(G126-H126,2)</f>
        <v/>
      </c>
      <c r="J126" s="19">
        <f>ROUND(INDEX(CCNL!$G$5:$G$12,MATCH(C126,CCNL!$A$5:$A$12,0))*D126,2)</f>
        <v/>
      </c>
      <c r="K126" s="19">
        <f>ROUND(E126-H126,2)</f>
        <v/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1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9" t="inlineStr">
        <is>
          <t>CCNL Terziario Distribuzione e Servizi (Confcommercio): minimi mensili e scatti</t>
        </is>
      </c>
    </row>
    <row r="2">
      <c r="A2" s="10" t="inlineStr">
        <is>
          <t>Accordo di rinnovo del 22 marzo 2024. Minimo = paga base + contingenza (+ 5,16 € al 7° livello). Fonti in docs/fonti.md.</t>
        </is>
      </c>
    </row>
    <row r="4" ht="32" customHeight="1">
      <c r="A4" s="11" t="inlineStr">
        <is>
          <t>Livello</t>
        </is>
      </c>
      <c r="B4" s="11" t="inlineStr">
        <is>
          <t>Paga base</t>
        </is>
      </c>
      <c r="C4" s="11" t="inlineStr">
        <is>
          <t>Contingenza</t>
        </is>
      </c>
      <c r="D4" s="11" t="inlineStr">
        <is>
          <t>Altri elementi</t>
        </is>
      </c>
      <c r="E4" s="11" t="inlineStr">
        <is>
          <t>Minimo dal 03/2025</t>
        </is>
      </c>
      <c r="F4" s="11" t="inlineStr">
        <is>
          <t>Minimo dal 11/2025</t>
        </is>
      </c>
      <c r="G4" s="11" t="inlineStr">
        <is>
          <t>Minimo dal 11/2026</t>
        </is>
      </c>
      <c r="H4" s="11" t="inlineStr">
        <is>
          <t>Minimo dal 02/2027</t>
        </is>
      </c>
      <c r="I4" s="11" t="inlineStr">
        <is>
          <t>Scatto</t>
        </is>
      </c>
    </row>
    <row r="5">
      <c r="A5" s="15" t="inlineStr">
        <is>
          <t>Quadri</t>
        </is>
      </c>
      <c r="B5" s="17" t="n">
        <v>2183.09</v>
      </c>
      <c r="C5" s="17" t="n">
        <v>540.36</v>
      </c>
      <c r="D5" s="17" t="n">
        <v>0</v>
      </c>
      <c r="E5" s="17" t="n">
        <v>2662.68</v>
      </c>
      <c r="F5" s="17" t="n">
        <v>2723.45</v>
      </c>
      <c r="G5" s="17" t="n">
        <v>2784.22</v>
      </c>
      <c r="H5" s="17" t="n">
        <v>2853.66</v>
      </c>
      <c r="I5" s="17" t="n">
        <v>25.46</v>
      </c>
    </row>
    <row r="6">
      <c r="A6" s="15" t="inlineStr">
        <is>
          <t>1</t>
        </is>
      </c>
      <c r="B6" s="17" t="n">
        <v>1966.54</v>
      </c>
      <c r="C6" s="17" t="n">
        <v>537.53</v>
      </c>
      <c r="D6" s="17" t="n">
        <v>0</v>
      </c>
      <c r="E6" s="17" t="n">
        <v>2449.33</v>
      </c>
      <c r="F6" s="17" t="n">
        <v>2504.07</v>
      </c>
      <c r="G6" s="17" t="n">
        <v>2558.81</v>
      </c>
      <c r="H6" s="17" t="n">
        <v>2621.36</v>
      </c>
      <c r="I6" s="17" t="n">
        <v>24.84</v>
      </c>
    </row>
    <row r="7">
      <c r="A7" s="15" t="inlineStr">
        <is>
          <t>2</t>
        </is>
      </c>
      <c r="B7" s="17" t="n">
        <v>1701.04</v>
      </c>
      <c r="C7" s="17" t="n">
        <v>532.5599999999999</v>
      </c>
      <c r="D7" s="17" t="n">
        <v>0</v>
      </c>
      <c r="E7" s="17" t="n">
        <v>2186.25</v>
      </c>
      <c r="F7" s="17" t="n">
        <v>2233.6</v>
      </c>
      <c r="G7" s="17" t="n">
        <v>2280.95</v>
      </c>
      <c r="H7" s="17" t="n">
        <v>2335.06</v>
      </c>
      <c r="I7" s="17" t="n">
        <v>22.83</v>
      </c>
    </row>
    <row r="8">
      <c r="A8" s="15" t="inlineStr">
        <is>
          <t>3</t>
        </is>
      </c>
      <c r="B8" s="17" t="n">
        <v>1453.94</v>
      </c>
      <c r="C8" s="17" t="n">
        <v>527.9</v>
      </c>
      <c r="D8" s="17" t="n">
        <v>0</v>
      </c>
      <c r="E8" s="17" t="n">
        <v>1941.37</v>
      </c>
      <c r="F8" s="17" t="n">
        <v>1981.84</v>
      </c>
      <c r="G8" s="17" t="n">
        <v>2022.31</v>
      </c>
      <c r="H8" s="17" t="n">
        <v>2068.56</v>
      </c>
      <c r="I8" s="17" t="n">
        <v>21.95</v>
      </c>
    </row>
    <row r="9">
      <c r="A9" s="15" t="inlineStr">
        <is>
          <t>4</t>
        </is>
      </c>
      <c r="B9" s="17" t="n">
        <v>1257.46</v>
      </c>
      <c r="C9" s="17" t="n">
        <v>524.22</v>
      </c>
      <c r="D9" s="17" t="n">
        <v>0</v>
      </c>
      <c r="E9" s="17" t="n">
        <v>1746.68</v>
      </c>
      <c r="F9" s="17" t="n">
        <v>1781.68</v>
      </c>
      <c r="G9" s="17" t="n">
        <v>1816.68</v>
      </c>
      <c r="H9" s="17" t="n">
        <v>1856.68</v>
      </c>
      <c r="I9" s="17" t="n">
        <v>20.66</v>
      </c>
    </row>
    <row r="10">
      <c r="A10" s="15" t="inlineStr">
        <is>
          <t>5</t>
        </is>
      </c>
      <c r="B10" s="17" t="n">
        <v>1136.07</v>
      </c>
      <c r="C10" s="17" t="n">
        <v>521.9400000000001</v>
      </c>
      <c r="D10" s="17" t="n">
        <v>0</v>
      </c>
      <c r="E10" s="17" t="n">
        <v>1626.39</v>
      </c>
      <c r="F10" s="17" t="n">
        <v>1658.01</v>
      </c>
      <c r="G10" s="17" t="n">
        <v>1689.63</v>
      </c>
      <c r="H10" s="17" t="n">
        <v>1725.77</v>
      </c>
      <c r="I10" s="17" t="n">
        <v>20.3</v>
      </c>
    </row>
    <row r="11">
      <c r="A11" s="15" t="inlineStr">
        <is>
          <t>6</t>
        </is>
      </c>
      <c r="B11" s="17" t="n">
        <v>1019.94</v>
      </c>
      <c r="C11" s="17" t="n">
        <v>519.76</v>
      </c>
      <c r="D11" s="17" t="n">
        <v>0</v>
      </c>
      <c r="E11" s="17" t="n">
        <v>1511.31</v>
      </c>
      <c r="F11" s="17" t="n">
        <v>1539.7</v>
      </c>
      <c r="G11" s="17" t="n">
        <v>1568.09</v>
      </c>
      <c r="H11" s="17" t="n">
        <v>1600.54</v>
      </c>
      <c r="I11" s="17" t="n">
        <v>19.73</v>
      </c>
    </row>
    <row r="12">
      <c r="A12" s="15" t="inlineStr">
        <is>
          <t>7</t>
        </is>
      </c>
      <c r="B12" s="17" t="n">
        <v>873.22</v>
      </c>
      <c r="C12" s="17" t="n">
        <v>517.51</v>
      </c>
      <c r="D12" s="17" t="n">
        <v>5.16</v>
      </c>
      <c r="E12" s="17" t="n">
        <v>1371.58</v>
      </c>
      <c r="F12" s="17" t="n">
        <v>1395.89</v>
      </c>
      <c r="G12" s="17" t="n">
        <v>1420.2</v>
      </c>
      <c r="H12" s="17" t="n">
        <v>1447.98</v>
      </c>
      <c r="I12" s="17" t="n">
        <v>19.47</v>
      </c>
    </row>
  </sheetData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D1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4" customWidth="1" min="3" max="3"/>
    <col width="90" customWidth="1" min="4" max="4"/>
  </cols>
  <sheetData>
    <row r="1">
      <c r="A1" s="9" t="inlineStr">
        <is>
          <t>Parametri</t>
        </is>
      </c>
    </row>
    <row r="2">
      <c r="A2" s="10" t="inlineStr">
        <is>
          <t>Le regole dei controlli. I valori gialli cambiano gli esiti: vanno presi dal cliente.</t>
        </is>
      </c>
    </row>
    <row r="4" ht="20" customHeight="1">
      <c r="A4" s="11" t="inlineStr"/>
      <c r="B4" s="11" t="inlineStr">
        <is>
          <t>Parametro</t>
        </is>
      </c>
      <c r="C4" s="11" t="inlineStr">
        <is>
          <t>Valore</t>
        </is>
      </c>
      <c r="D4" s="11" t="inlineStr">
        <is>
          <t>Fonte e note</t>
        </is>
      </c>
    </row>
    <row r="5">
      <c r="B5" s="4" t="inlineStr">
        <is>
          <t>Mese controllato (primo giorno)</t>
        </is>
      </c>
      <c r="C5" s="16" t="n">
        <v>46266</v>
      </c>
      <c r="D5" s="10" t="inlineStr">
        <is>
          <t>Il mese dei cedolini incollati nel foglio Settembre.</t>
        </is>
      </c>
    </row>
    <row r="6">
      <c r="B6" s="4" t="inlineStr">
        <is>
          <t>Contributo IVS a carico del dipendente</t>
        </is>
      </c>
      <c r="C6" s="24" t="n">
        <v>0.0919</v>
      </c>
      <c r="D6" s="10" t="inlineStr">
        <is>
          <t>9,19% generale. Va preso dalla posizione INPS del cliente: FIS, CIGS e l'1% sopra la prima fascia pensionabile non sono modellati.</t>
        </is>
      </c>
    </row>
    <row r="7">
      <c r="B7" s="4" t="inlineStr">
        <is>
          <t>Divisore TFR</t>
        </is>
      </c>
      <c r="C7" s="25" t="n">
        <v>13.5</v>
      </c>
      <c r="D7" s="10" t="inlineStr">
        <is>
          <t>Art. 2120 c.c.: quota annua = retribuzione annua / 13,5.</t>
        </is>
      </c>
    </row>
    <row r="8">
      <c r="B8" s="4" t="inlineStr">
        <is>
          <t>Mensilità</t>
        </is>
      </c>
      <c r="C8" s="26" t="n">
        <v>14</v>
      </c>
      <c r="D8" s="10" t="inlineStr">
        <is>
          <t>CCNL Terziario: tredicesima e quattordicesima.</t>
        </is>
      </c>
    </row>
    <row r="9">
      <c r="B9" s="4" t="inlineStr">
        <is>
          <t>Ferie annue, giorni lavorativi</t>
        </is>
      </c>
      <c r="C9" s="26" t="n">
        <v>26</v>
      </c>
      <c r="D9" s="10" t="inlineStr">
        <is>
          <t>CCNL Terziario: 26 giorni, maturati per dodicesimi.</t>
        </is>
      </c>
    </row>
    <row r="10">
      <c r="B10" s="4" t="inlineStr">
        <is>
          <t>Variazione del netto da spiegare</t>
        </is>
      </c>
      <c r="C10" s="24" t="n">
        <v>0.2</v>
      </c>
      <c r="D10" s="10" t="inlineStr">
        <is>
          <t>Oltre questa soglia sul mese prima, senza un evento, il cedolino va guardato.</t>
        </is>
      </c>
    </row>
    <row r="11">
      <c r="B11" s="4" t="inlineStr">
        <is>
          <t>Tolleranza, euro</t>
        </is>
      </c>
      <c r="C11" s="27" t="n">
        <v>0.01</v>
      </c>
      <c r="D11" s="10" t="inlineStr">
        <is>
          <t>Un centesimo di arrotondamento.</t>
        </is>
      </c>
    </row>
    <row r="12">
      <c r="B12" s="4" t="inlineStr">
        <is>
          <t>Tolleranza, giorni di ferie</t>
        </is>
      </c>
      <c r="C12" s="27" t="n">
        <v>0.01</v>
      </c>
      <c r="D12" s="10" t="inlineStr"/>
    </row>
    <row r="13">
      <c r="B13" s="4" t="inlineStr">
        <is>
          <t>Scatti massimi</t>
        </is>
      </c>
      <c r="C13" s="26" t="n">
        <v>10</v>
      </c>
      <c r="D13" s="10" t="inlineStr">
        <is>
          <t>CCNL Terziario: 10 scatti triennali.</t>
        </is>
      </c>
    </row>
  </sheetData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C4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</cols>
  <sheetData>
    <row r="1">
      <c r="A1" s="9" t="inlineStr">
        <is>
          <t>Codice fiscale: valori per il carattere di controllo</t>
        </is>
      </c>
    </row>
    <row r="2">
      <c r="A2" s="10" t="inlineStr">
        <is>
          <t>DM 23 dicembre 1976: posizioni dispari e pari.</t>
        </is>
      </c>
    </row>
    <row r="4" ht="20" customHeight="1">
      <c r="A4" s="11" t="inlineStr">
        <is>
          <t>Carattere</t>
        </is>
      </c>
      <c r="B4" s="11" t="inlineStr">
        <is>
          <t>Dispari</t>
        </is>
      </c>
      <c r="C4" s="11" t="inlineStr">
        <is>
          <t>Pari</t>
        </is>
      </c>
    </row>
    <row r="5">
      <c r="A5" s="15" t="inlineStr">
        <is>
          <t>0</t>
        </is>
      </c>
      <c r="B5" s="15" t="n">
        <v>1</v>
      </c>
      <c r="C5" s="15" t="n">
        <v>0</v>
      </c>
    </row>
    <row r="6">
      <c r="A6" s="15" t="inlineStr">
        <is>
          <t>1</t>
        </is>
      </c>
      <c r="B6" s="15" t="n">
        <v>0</v>
      </c>
      <c r="C6" s="15" t="n">
        <v>1</v>
      </c>
    </row>
    <row r="7">
      <c r="A7" s="15" t="inlineStr">
        <is>
          <t>2</t>
        </is>
      </c>
      <c r="B7" s="15" t="n">
        <v>5</v>
      </c>
      <c r="C7" s="15" t="n">
        <v>2</v>
      </c>
    </row>
    <row r="8">
      <c r="A8" s="15" t="inlineStr">
        <is>
          <t>3</t>
        </is>
      </c>
      <c r="B8" s="15" t="n">
        <v>7</v>
      </c>
      <c r="C8" s="15" t="n">
        <v>3</v>
      </c>
    </row>
    <row r="9">
      <c r="A9" s="15" t="inlineStr">
        <is>
          <t>4</t>
        </is>
      </c>
      <c r="B9" s="15" t="n">
        <v>9</v>
      </c>
      <c r="C9" s="15" t="n">
        <v>4</v>
      </c>
    </row>
    <row r="10">
      <c r="A10" s="15" t="inlineStr">
        <is>
          <t>5</t>
        </is>
      </c>
      <c r="B10" s="15" t="n">
        <v>13</v>
      </c>
      <c r="C10" s="15" t="n">
        <v>5</v>
      </c>
    </row>
    <row r="11">
      <c r="A11" s="15" t="inlineStr">
        <is>
          <t>6</t>
        </is>
      </c>
      <c r="B11" s="15" t="n">
        <v>15</v>
      </c>
      <c r="C11" s="15" t="n">
        <v>6</v>
      </c>
    </row>
    <row r="12">
      <c r="A12" s="15" t="inlineStr">
        <is>
          <t>7</t>
        </is>
      </c>
      <c r="B12" s="15" t="n">
        <v>17</v>
      </c>
      <c r="C12" s="15" t="n">
        <v>7</v>
      </c>
    </row>
    <row r="13">
      <c r="A13" s="15" t="inlineStr">
        <is>
          <t>8</t>
        </is>
      </c>
      <c r="B13" s="15" t="n">
        <v>19</v>
      </c>
      <c r="C13" s="15" t="n">
        <v>8</v>
      </c>
    </row>
    <row r="14">
      <c r="A14" s="15" t="inlineStr">
        <is>
          <t>9</t>
        </is>
      </c>
      <c r="B14" s="15" t="n">
        <v>21</v>
      </c>
      <c r="C14" s="15" t="n">
        <v>9</v>
      </c>
    </row>
    <row r="15">
      <c r="A15" s="15" t="inlineStr">
        <is>
          <t>A</t>
        </is>
      </c>
      <c r="B15" s="15" t="n">
        <v>1</v>
      </c>
      <c r="C15" s="15" t="n">
        <v>0</v>
      </c>
    </row>
    <row r="16">
      <c r="A16" s="15" t="inlineStr">
        <is>
          <t>B</t>
        </is>
      </c>
      <c r="B16" s="15" t="n">
        <v>0</v>
      </c>
      <c r="C16" s="15" t="n">
        <v>1</v>
      </c>
    </row>
    <row r="17">
      <c r="A17" s="15" t="inlineStr">
        <is>
          <t>C</t>
        </is>
      </c>
      <c r="B17" s="15" t="n">
        <v>5</v>
      </c>
      <c r="C17" s="15" t="n">
        <v>2</v>
      </c>
    </row>
    <row r="18">
      <c r="A18" s="15" t="inlineStr">
        <is>
          <t>D</t>
        </is>
      </c>
      <c r="B18" s="15" t="n">
        <v>7</v>
      </c>
      <c r="C18" s="15" t="n">
        <v>3</v>
      </c>
    </row>
    <row r="19">
      <c r="A19" s="15" t="inlineStr">
        <is>
          <t>E</t>
        </is>
      </c>
      <c r="B19" s="15" t="n">
        <v>9</v>
      </c>
      <c r="C19" s="15" t="n">
        <v>4</v>
      </c>
    </row>
    <row r="20">
      <c r="A20" s="15" t="inlineStr">
        <is>
          <t>F</t>
        </is>
      </c>
      <c r="B20" s="15" t="n">
        <v>13</v>
      </c>
      <c r="C20" s="15" t="n">
        <v>5</v>
      </c>
    </row>
    <row r="21">
      <c r="A21" s="15" t="inlineStr">
        <is>
          <t>G</t>
        </is>
      </c>
      <c r="B21" s="15" t="n">
        <v>15</v>
      </c>
      <c r="C21" s="15" t="n">
        <v>6</v>
      </c>
    </row>
    <row r="22">
      <c r="A22" s="15" t="inlineStr">
        <is>
          <t>H</t>
        </is>
      </c>
      <c r="B22" s="15" t="n">
        <v>17</v>
      </c>
      <c r="C22" s="15" t="n">
        <v>7</v>
      </c>
    </row>
    <row r="23">
      <c r="A23" s="15" t="inlineStr">
        <is>
          <t>I</t>
        </is>
      </c>
      <c r="B23" s="15" t="n">
        <v>19</v>
      </c>
      <c r="C23" s="15" t="n">
        <v>8</v>
      </c>
    </row>
    <row r="24">
      <c r="A24" s="15" t="inlineStr">
        <is>
          <t>J</t>
        </is>
      </c>
      <c r="B24" s="15" t="n">
        <v>21</v>
      </c>
      <c r="C24" s="15" t="n">
        <v>9</v>
      </c>
    </row>
    <row r="25">
      <c r="A25" s="15" t="inlineStr">
        <is>
          <t>K</t>
        </is>
      </c>
      <c r="B25" s="15" t="n">
        <v>2</v>
      </c>
      <c r="C25" s="15" t="n">
        <v>10</v>
      </c>
    </row>
    <row r="26">
      <c r="A26" s="15" t="inlineStr">
        <is>
          <t>L</t>
        </is>
      </c>
      <c r="B26" s="15" t="n">
        <v>4</v>
      </c>
      <c r="C26" s="15" t="n">
        <v>11</v>
      </c>
    </row>
    <row r="27">
      <c r="A27" s="15" t="inlineStr">
        <is>
          <t>M</t>
        </is>
      </c>
      <c r="B27" s="15" t="n">
        <v>18</v>
      </c>
      <c r="C27" s="15" t="n">
        <v>12</v>
      </c>
    </row>
    <row r="28">
      <c r="A28" s="15" t="inlineStr">
        <is>
          <t>N</t>
        </is>
      </c>
      <c r="B28" s="15" t="n">
        <v>20</v>
      </c>
      <c r="C28" s="15" t="n">
        <v>13</v>
      </c>
    </row>
    <row r="29">
      <c r="A29" s="15" t="inlineStr">
        <is>
          <t>O</t>
        </is>
      </c>
      <c r="B29" s="15" t="n">
        <v>11</v>
      </c>
      <c r="C29" s="15" t="n">
        <v>14</v>
      </c>
    </row>
    <row r="30">
      <c r="A30" s="15" t="inlineStr">
        <is>
          <t>P</t>
        </is>
      </c>
      <c r="B30" s="15" t="n">
        <v>3</v>
      </c>
      <c r="C30" s="15" t="n">
        <v>15</v>
      </c>
    </row>
    <row r="31">
      <c r="A31" s="15" t="inlineStr">
        <is>
          <t>Q</t>
        </is>
      </c>
      <c r="B31" s="15" t="n">
        <v>6</v>
      </c>
      <c r="C31" s="15" t="n">
        <v>16</v>
      </c>
    </row>
    <row r="32">
      <c r="A32" s="15" t="inlineStr">
        <is>
          <t>R</t>
        </is>
      </c>
      <c r="B32" s="15" t="n">
        <v>8</v>
      </c>
      <c r="C32" s="15" t="n">
        <v>17</v>
      </c>
    </row>
    <row r="33">
      <c r="A33" s="15" t="inlineStr">
        <is>
          <t>S</t>
        </is>
      </c>
      <c r="B33" s="15" t="n">
        <v>12</v>
      </c>
      <c r="C33" s="15" t="n">
        <v>18</v>
      </c>
    </row>
    <row r="34">
      <c r="A34" s="15" t="inlineStr">
        <is>
          <t>T</t>
        </is>
      </c>
      <c r="B34" s="15" t="n">
        <v>14</v>
      </c>
      <c r="C34" s="15" t="n">
        <v>19</v>
      </c>
    </row>
    <row r="35">
      <c r="A35" s="15" t="inlineStr">
        <is>
          <t>U</t>
        </is>
      </c>
      <c r="B35" s="15" t="n">
        <v>16</v>
      </c>
      <c r="C35" s="15" t="n">
        <v>20</v>
      </c>
    </row>
    <row r="36">
      <c r="A36" s="15" t="inlineStr">
        <is>
          <t>V</t>
        </is>
      </c>
      <c r="B36" s="15" t="n">
        <v>10</v>
      </c>
      <c r="C36" s="15" t="n">
        <v>21</v>
      </c>
    </row>
    <row r="37">
      <c r="A37" s="15" t="inlineStr">
        <is>
          <t>W</t>
        </is>
      </c>
      <c r="B37" s="15" t="n">
        <v>22</v>
      </c>
      <c r="C37" s="15" t="n">
        <v>22</v>
      </c>
    </row>
    <row r="38">
      <c r="A38" s="15" t="inlineStr">
        <is>
          <t>X</t>
        </is>
      </c>
      <c r="B38" s="15" t="n">
        <v>25</v>
      </c>
      <c r="C38" s="15" t="n">
        <v>23</v>
      </c>
    </row>
    <row r="39">
      <c r="A39" s="15" t="inlineStr">
        <is>
          <t>Y</t>
        </is>
      </c>
      <c r="B39" s="15" t="n">
        <v>24</v>
      </c>
      <c r="C39" s="15" t="n">
        <v>24</v>
      </c>
    </row>
    <row r="40">
      <c r="A40" s="15" t="inlineStr">
        <is>
          <t>Z</t>
        </is>
      </c>
      <c r="B40" s="15" t="n">
        <v>23</v>
      </c>
      <c r="C40" s="15" t="n">
        <v>25</v>
      </c>
    </row>
  </sheetData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G423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6" customWidth="1" min="1" max="1"/>
    <col width="52" customWidth="1" min="2" max="2"/>
    <col width="3" customWidth="1" min="3" max="3"/>
    <col width="18" customWidth="1" min="4" max="4"/>
    <col width="18" customWidth="1" min="5" max="5"/>
    <col width="14" customWidth="1" min="6" max="6"/>
    <col width="8" customWidth="1" min="7" max="7"/>
  </cols>
  <sheetData>
    <row r="1">
      <c r="A1" s="9" t="inlineStr">
        <is>
          <t>Riconciliazione: formule del foglio contro Python</t>
        </is>
      </c>
    </row>
    <row r="2">
      <c r="A2" s="10" t="inlineStr">
        <is>
          <t>La colonna D è scritta da src/build_foglio.py con i risultati di pandas; la colonna E è la formula.</t>
        </is>
      </c>
    </row>
    <row r="3">
      <c r="B3" s="28">
        <f>IF(COUNTIF(G7:G423,"No")=0,"Tutti i "&amp;COUNTA(B7:B423)&amp;" controlli tornano",COUNTIF(G7:G423,"No")&amp;" controlli su "&amp;COUNTA(B7:B423)&amp;" non tornano")</f>
        <v/>
      </c>
    </row>
    <row r="6" ht="32" customHeight="1">
      <c r="A6" s="11" t="inlineStr">
        <is>
          <t>Foglio</t>
        </is>
      </c>
      <c r="B6" s="11" t="inlineStr">
        <is>
          <t>Voce</t>
        </is>
      </c>
      <c r="C6" s="11" t="inlineStr"/>
      <c r="D6" s="11" t="inlineStr">
        <is>
          <t>Python</t>
        </is>
      </c>
      <c r="E6" s="11" t="inlineStr">
        <is>
          <t>Foglio</t>
        </is>
      </c>
      <c r="F6" s="11" t="inlineStr">
        <is>
          <t>Differenza</t>
        </is>
      </c>
      <c r="G6" s="11" t="inlineStr">
        <is>
          <t>Uguale</t>
        </is>
      </c>
    </row>
    <row r="7">
      <c r="A7" s="4" t="inlineStr">
        <is>
          <t>Settembre</t>
        </is>
      </c>
      <c r="B7" s="4" t="inlineStr">
        <is>
          <t>A001 tabellare atteso</t>
        </is>
      </c>
      <c r="D7" s="29" t="n">
        <v>1539.7</v>
      </c>
      <c r="E7" s="30">
        <f>Settembre!X5</f>
        <v/>
      </c>
      <c r="F7" s="31">
        <f>IF(AND(ISNUMBER(D7),ISNUMBER(E7)),E7-D7,"")</f>
        <v/>
      </c>
      <c r="G7" s="4">
        <f>IF(AND(D7="",E7=""),"Sì",IF(AND(ISNUMBER(D7),ISNUMBER(E7)),IF(ABS(E7-D7)&lt;=1E-9*MAX(1,ABS(D7)),"Sì","No"),IF(D7=E7,"Sì","No")))</f>
        <v/>
      </c>
    </row>
    <row r="8">
      <c r="A8" s="4" t="inlineStr">
        <is>
          <t>Settembre</t>
        </is>
      </c>
      <c r="B8" s="4" t="inlineStr">
        <is>
          <t>A001 scatti_n atteso</t>
        </is>
      </c>
      <c r="D8" s="15" t="n">
        <v>0</v>
      </c>
      <c r="E8" s="32">
        <f>Settembre!Z5</f>
        <v/>
      </c>
      <c r="F8" s="31">
        <f>IF(AND(ISNUMBER(D8),ISNUMBER(E8)),E8-D8,"")</f>
        <v/>
      </c>
      <c r="G8" s="4">
        <f>IF(AND(D8="",E8=""),"Sì",IF(AND(ISNUMBER(D8),ISNUMBER(E8)),IF(ABS(E8-D8)&lt;=1E-9*MAX(1,ABS(D8)),"Sì","No"),IF(D8=E8,"Sì","No")))</f>
        <v/>
      </c>
    </row>
    <row r="9">
      <c r="A9" s="4" t="inlineStr">
        <is>
          <t>Settembre</t>
        </is>
      </c>
      <c r="B9" s="4" t="inlineStr">
        <is>
          <t>A001 scatti atteso</t>
        </is>
      </c>
      <c r="D9" s="29" t="n">
        <v>0</v>
      </c>
      <c r="E9" s="30">
        <f>Settembre!AA5</f>
        <v/>
      </c>
      <c r="F9" s="31">
        <f>IF(AND(ISNUMBER(D9),ISNUMBER(E9)),E9-D9,"")</f>
        <v/>
      </c>
      <c r="G9" s="4">
        <f>IF(AND(D9="",E9=""),"Sì",IF(AND(ISNUMBER(D9),ISNUMBER(E9)),IF(ABS(E9-D9)&lt;=1E-9*MAX(1,ABS(D9)),"Sì","No"),IF(D9=E9,"Sì","No")))</f>
        <v/>
      </c>
    </row>
    <row r="10">
      <c r="A10" s="4" t="inlineStr">
        <is>
          <t>Settembre</t>
        </is>
      </c>
      <c r="B10" s="4" t="inlineStr">
        <is>
          <t>A001 contributi_inps atteso</t>
        </is>
      </c>
      <c r="D10" s="29" t="n">
        <v>155.28</v>
      </c>
      <c r="E10" s="30">
        <f>Settembre!AB5</f>
        <v/>
      </c>
      <c r="F10" s="31">
        <f>IF(AND(ISNUMBER(D10),ISNUMBER(E10)),E10-D10,"")</f>
        <v/>
      </c>
      <c r="G10" s="4">
        <f>IF(AND(D10="",E10=""),"Sì",IF(AND(ISNUMBER(D10),ISNUMBER(E10)),IF(ABS(E10-D10)&lt;=1E-9*MAX(1,ABS(D10)),"Sì","No"),IF(D10=E10,"Sì","No")))</f>
        <v/>
      </c>
    </row>
    <row r="11">
      <c r="A11" s="4" t="inlineStr">
        <is>
          <t>Settembre</t>
        </is>
      </c>
      <c r="B11" s="4" t="inlineStr">
        <is>
          <t>A001 quota_tfr atteso</t>
        </is>
      </c>
      <c r="D11" s="29" t="n">
        <v>146.02</v>
      </c>
      <c r="E11" s="30">
        <f>Settembre!AC5</f>
        <v/>
      </c>
      <c r="F11" s="31">
        <f>IF(AND(ISNUMBER(D11),ISNUMBER(E11)),E11-D11,"")</f>
        <v/>
      </c>
      <c r="G11" s="4">
        <f>IF(AND(D11="",E11=""),"Sì",IF(AND(ISNUMBER(D11),ISNUMBER(E11)),IF(ABS(E11-D11)&lt;=1E-9*MAX(1,ABS(D11)),"Sì","No"),IF(D11=E11,"Sì","No")))</f>
        <v/>
      </c>
    </row>
    <row r="12">
      <c r="A12" s="4" t="inlineStr">
        <is>
          <t>Settembre</t>
        </is>
      </c>
      <c r="B12" s="4" t="inlineStr">
        <is>
          <t>A001 ferie_residuo atteso</t>
        </is>
      </c>
      <c r="D12" s="29" t="n">
        <v>8.8527</v>
      </c>
      <c r="E12" s="30">
        <f>Settembre!AE5</f>
        <v/>
      </c>
      <c r="F12" s="31">
        <f>IF(AND(ISNUMBER(D12),ISNUMBER(E12)),E12-D12,"")</f>
        <v/>
      </c>
      <c r="G12" s="4">
        <f>IF(AND(D12="",E12=""),"Sì",IF(AND(ISNUMBER(D12),ISNUMBER(E12)),IF(ABS(E12-D12)&lt;=1E-9*MAX(1,ABS(D12)),"Sì","No"),IF(D12=E12,"Sì","No")))</f>
        <v/>
      </c>
    </row>
    <row r="13">
      <c r="A13" s="4" t="inlineStr">
        <is>
          <t>Settembre</t>
        </is>
      </c>
      <c r="B13" s="4" t="inlineStr">
        <is>
          <t>A001 netto atteso</t>
        </is>
      </c>
      <c r="D13" s="29" t="n">
        <v>1310.02</v>
      </c>
      <c r="E13" s="30">
        <f>Settembre!AG5</f>
        <v/>
      </c>
      <c r="F13" s="31">
        <f>IF(AND(ISNUMBER(D13),ISNUMBER(E13)),E13-D13,"")</f>
        <v/>
      </c>
      <c r="G13" s="4">
        <f>IF(AND(D13="",E13=""),"Sì",IF(AND(ISNUMBER(D13),ISNUMBER(E13)),IF(ABS(E13-D13)&lt;=1E-9*MAX(1,ABS(D13)),"Sì","No"),IF(D13=E13,"Sì","No")))</f>
        <v/>
      </c>
    </row>
    <row r="14">
      <c r="A14" s="4" t="inlineStr">
        <is>
          <t>Settembre</t>
        </is>
      </c>
      <c r="B14" s="4" t="inlineStr">
        <is>
          <t>A007 tabellare atteso</t>
        </is>
      </c>
      <c r="D14" s="29" t="n">
        <v>2504.07</v>
      </c>
      <c r="E14" s="30">
        <f>Settembre!X11</f>
        <v/>
      </c>
      <c r="F14" s="31">
        <f>IF(AND(ISNUMBER(D14),ISNUMBER(E14)),E14-D14,"")</f>
        <v/>
      </c>
      <c r="G14" s="4">
        <f>IF(AND(D14="",E14=""),"Sì",IF(AND(ISNUMBER(D14),ISNUMBER(E14)),IF(ABS(E14-D14)&lt;=1E-9*MAX(1,ABS(D14)),"Sì","No"),IF(D14=E14,"Sì","No")))</f>
        <v/>
      </c>
    </row>
    <row r="15">
      <c r="A15" s="4" t="inlineStr">
        <is>
          <t>Settembre</t>
        </is>
      </c>
      <c r="B15" s="4" t="inlineStr">
        <is>
          <t>A007 scatti_n atteso</t>
        </is>
      </c>
      <c r="D15" s="15" t="n">
        <v>2</v>
      </c>
      <c r="E15" s="32">
        <f>Settembre!Z11</f>
        <v/>
      </c>
      <c r="F15" s="31">
        <f>IF(AND(ISNUMBER(D15),ISNUMBER(E15)),E15-D15,"")</f>
        <v/>
      </c>
      <c r="G15" s="4">
        <f>IF(AND(D15="",E15=""),"Sì",IF(AND(ISNUMBER(D15),ISNUMBER(E15)),IF(ABS(E15-D15)&lt;=1E-9*MAX(1,ABS(D15)),"Sì","No"),IF(D15=E15,"Sì","No")))</f>
        <v/>
      </c>
    </row>
    <row r="16">
      <c r="A16" s="4" t="inlineStr">
        <is>
          <t>Settembre</t>
        </is>
      </c>
      <c r="B16" s="4" t="inlineStr">
        <is>
          <t>A007 scatti atteso</t>
        </is>
      </c>
      <c r="D16" s="29" t="n">
        <v>49.68</v>
      </c>
      <c r="E16" s="30">
        <f>Settembre!AA11</f>
        <v/>
      </c>
      <c r="F16" s="31">
        <f>IF(AND(ISNUMBER(D16),ISNUMBER(E16)),E16-D16,"")</f>
        <v/>
      </c>
      <c r="G16" s="4">
        <f>IF(AND(D16="",E16=""),"Sì",IF(AND(ISNUMBER(D16),ISNUMBER(E16)),IF(ABS(E16-D16)&lt;=1E-9*MAX(1,ABS(D16)),"Sì","No"),IF(D16=E16,"Sì","No")))</f>
        <v/>
      </c>
    </row>
    <row r="17">
      <c r="A17" s="4" t="inlineStr">
        <is>
          <t>Settembre</t>
        </is>
      </c>
      <c r="B17" s="4" t="inlineStr">
        <is>
          <t>A007 contributi_inps atteso</t>
        </is>
      </c>
      <c r="D17" s="29" t="n">
        <v>250.79</v>
      </c>
      <c r="E17" s="30">
        <f>Settembre!AB11</f>
        <v/>
      </c>
      <c r="F17" s="31">
        <f>IF(AND(ISNUMBER(D17),ISNUMBER(E17)),E17-D17,"")</f>
        <v/>
      </c>
      <c r="G17" s="4">
        <f>IF(AND(D17="",E17=""),"Sì",IF(AND(ISNUMBER(D17),ISNUMBER(E17)),IF(ABS(E17-D17)&lt;=1E-9*MAX(1,ABS(D17)),"Sì","No"),IF(D17=E17,"Sì","No")))</f>
        <v/>
      </c>
    </row>
    <row r="18">
      <c r="A18" s="4" t="inlineStr">
        <is>
          <t>Settembre</t>
        </is>
      </c>
      <c r="B18" s="4" t="inlineStr">
        <is>
          <t>A007 quota_tfr atteso</t>
        </is>
      </c>
      <c r="D18" s="29" t="n">
        <v>235.83</v>
      </c>
      <c r="E18" s="30">
        <f>Settembre!AC11</f>
        <v/>
      </c>
      <c r="F18" s="31">
        <f>IF(AND(ISNUMBER(D18),ISNUMBER(E18)),E18-D18,"")</f>
        <v/>
      </c>
      <c r="G18" s="4">
        <f>IF(AND(D18="",E18=""),"Sì",IF(AND(ISNUMBER(D18),ISNUMBER(E18)),IF(ABS(E18-D18)&lt;=1E-9*MAX(1,ABS(D18)),"Sì","No"),IF(D18=E18,"Sì","No")))</f>
        <v/>
      </c>
    </row>
    <row r="19">
      <c r="A19" s="4" t="inlineStr">
        <is>
          <t>Settembre</t>
        </is>
      </c>
      <c r="B19" s="4" t="inlineStr">
        <is>
          <t>A007 ferie_residuo atteso</t>
        </is>
      </c>
      <c r="D19" s="29" t="n">
        <v>19.5186</v>
      </c>
      <c r="E19" s="30">
        <f>Settembre!AE11</f>
        <v/>
      </c>
      <c r="F19" s="31">
        <f>IF(AND(ISNUMBER(D19),ISNUMBER(E19)),E19-D19,"")</f>
        <v/>
      </c>
      <c r="G19" s="4">
        <f>IF(AND(D19="",E19=""),"Sì",IF(AND(ISNUMBER(D19),ISNUMBER(E19)),IF(ABS(E19-D19)&lt;=1E-9*MAX(1,ABS(D19)),"Sì","No"),IF(D19=E19,"Sì","No")))</f>
        <v/>
      </c>
    </row>
    <row r="20">
      <c r="A20" s="4" t="inlineStr">
        <is>
          <t>Settembre</t>
        </is>
      </c>
      <c r="B20" s="4" t="inlineStr">
        <is>
          <t>A007 netto atteso</t>
        </is>
      </c>
      <c r="D20" s="29" t="n">
        <v>1970.3</v>
      </c>
      <c r="E20" s="30">
        <f>Settembre!AG11</f>
        <v/>
      </c>
      <c r="F20" s="31">
        <f>IF(AND(ISNUMBER(D20),ISNUMBER(E20)),E20-D20,"")</f>
        <v/>
      </c>
      <c r="G20" s="4">
        <f>IF(AND(D20="",E20=""),"Sì",IF(AND(ISNUMBER(D20),ISNUMBER(E20)),IF(ABS(E20-D20)&lt;=1E-9*MAX(1,ABS(D20)),"Sì","No"),IF(D20=E20,"Sì","No")))</f>
        <v/>
      </c>
    </row>
    <row r="21">
      <c r="A21" s="4" t="inlineStr">
        <is>
          <t>Settembre</t>
        </is>
      </c>
      <c r="B21" s="4" t="inlineStr">
        <is>
          <t>A013 tabellare atteso</t>
        </is>
      </c>
      <c r="D21" s="29" t="n">
        <v>1336.26</v>
      </c>
      <c r="E21" s="30">
        <f>Settembre!X17</f>
        <v/>
      </c>
      <c r="F21" s="31">
        <f>IF(AND(ISNUMBER(D21),ISNUMBER(E21)),E21-D21,"")</f>
        <v/>
      </c>
      <c r="G21" s="4">
        <f>IF(AND(D21="",E21=""),"Sì",IF(AND(ISNUMBER(D21),ISNUMBER(E21)),IF(ABS(E21-D21)&lt;=1E-9*MAX(1,ABS(D21)),"Sì","No"),IF(D21=E21,"Sì","No")))</f>
        <v/>
      </c>
    </row>
    <row r="22">
      <c r="A22" s="4" t="inlineStr">
        <is>
          <t>Settembre</t>
        </is>
      </c>
      <c r="B22" s="4" t="inlineStr">
        <is>
          <t>A013 scatti_n atteso</t>
        </is>
      </c>
      <c r="D22" s="15" t="n">
        <v>7</v>
      </c>
      <c r="E22" s="32">
        <f>Settembre!Z17</f>
        <v/>
      </c>
      <c r="F22" s="31">
        <f>IF(AND(ISNUMBER(D22),ISNUMBER(E22)),E22-D22,"")</f>
        <v/>
      </c>
      <c r="G22" s="4">
        <f>IF(AND(D22="",E22=""),"Sì",IF(AND(ISNUMBER(D22),ISNUMBER(E22)),IF(ABS(E22-D22)&lt;=1E-9*MAX(1,ABS(D22)),"Sì","No"),IF(D22=E22,"Sì","No")))</f>
        <v/>
      </c>
    </row>
    <row r="23">
      <c r="A23" s="4" t="inlineStr">
        <is>
          <t>Settembre</t>
        </is>
      </c>
      <c r="B23" s="4" t="inlineStr">
        <is>
          <t>A013 scatti atteso</t>
        </is>
      </c>
      <c r="D23" s="29" t="n">
        <v>108.47</v>
      </c>
      <c r="E23" s="30">
        <f>Settembre!AA17</f>
        <v/>
      </c>
      <c r="F23" s="31">
        <f>IF(AND(ISNUMBER(D23),ISNUMBER(E23)),E23-D23,"")</f>
        <v/>
      </c>
      <c r="G23" s="4">
        <f>IF(AND(D23="",E23=""),"Sì",IF(AND(ISNUMBER(D23),ISNUMBER(E23)),IF(ABS(E23-D23)&lt;=1E-9*MAX(1,ABS(D23)),"Sì","No"),IF(D23=E23,"Sì","No")))</f>
        <v/>
      </c>
    </row>
    <row r="24">
      <c r="A24" s="4" t="inlineStr">
        <is>
          <t>Settembre</t>
        </is>
      </c>
      <c r="B24" s="4" t="inlineStr">
        <is>
          <t>A013 contributi_inps atteso</t>
        </is>
      </c>
      <c r="D24" s="29" t="n">
        <v>132.77</v>
      </c>
      <c r="E24" s="30">
        <f>Settembre!AB17</f>
        <v/>
      </c>
      <c r="F24" s="31">
        <f>IF(AND(ISNUMBER(D24),ISNUMBER(E24)),E24-D24,"")</f>
        <v/>
      </c>
      <c r="G24" s="4">
        <f>IF(AND(D24="",E24=""),"Sì",IF(AND(ISNUMBER(D24),ISNUMBER(E24)),IF(ABS(E24-D24)&lt;=1E-9*MAX(1,ABS(D24)),"Sì","No"),IF(D24=E24,"Sì","No")))</f>
        <v/>
      </c>
    </row>
    <row r="25">
      <c r="A25" s="4" t="inlineStr">
        <is>
          <t>Settembre</t>
        </is>
      </c>
      <c r="B25" s="4" t="inlineStr">
        <is>
          <t>A013 quota_tfr atteso</t>
        </is>
      </c>
      <c r="D25" s="29" t="n">
        <v>124.85</v>
      </c>
      <c r="E25" s="30">
        <f>Settembre!AC17</f>
        <v/>
      </c>
      <c r="F25" s="31">
        <f>IF(AND(ISNUMBER(D25),ISNUMBER(E25)),E25-D25,"")</f>
        <v/>
      </c>
      <c r="G25" s="4">
        <f>IF(AND(D25="",E25=""),"Sì",IF(AND(ISNUMBER(D25),ISNUMBER(E25)),IF(ABS(E25-D25)&lt;=1E-9*MAX(1,ABS(D25)),"Sì","No"),IF(D25=E25,"Sì","No")))</f>
        <v/>
      </c>
    </row>
    <row r="26">
      <c r="A26" s="4" t="inlineStr">
        <is>
          <t>Settembre</t>
        </is>
      </c>
      <c r="B26" s="4" t="inlineStr">
        <is>
          <t>A013 ferie_residuo atteso</t>
        </is>
      </c>
      <c r="D26" s="29" t="n">
        <v>11.5466</v>
      </c>
      <c r="E26" s="30">
        <f>Settembre!AE17</f>
        <v/>
      </c>
      <c r="F26" s="31">
        <f>IF(AND(ISNUMBER(D26),ISNUMBER(E26)),E26-D26,"")</f>
        <v/>
      </c>
      <c r="G26" s="4">
        <f>IF(AND(D26="",E26=""),"Sì",IF(AND(ISNUMBER(D26),ISNUMBER(E26)),IF(ABS(E26-D26)&lt;=1E-9*MAX(1,ABS(D26)),"Sì","No"),IF(D26=E26,"Sì","No")))</f>
        <v/>
      </c>
    </row>
    <row r="27">
      <c r="A27" s="4" t="inlineStr">
        <is>
          <t>Settembre</t>
        </is>
      </c>
      <c r="B27" s="4" t="inlineStr">
        <is>
          <t>A013 netto atteso</t>
        </is>
      </c>
      <c r="D27" s="29" t="n">
        <v>1150.97</v>
      </c>
      <c r="E27" s="30">
        <f>Settembre!AG17</f>
        <v/>
      </c>
      <c r="F27" s="31">
        <f>IF(AND(ISNUMBER(D27),ISNUMBER(E27)),E27-D27,"")</f>
        <v/>
      </c>
      <c r="G27" s="4">
        <f>IF(AND(D27="",E27=""),"Sì",IF(AND(ISNUMBER(D27),ISNUMBER(E27)),IF(ABS(E27-D27)&lt;=1E-9*MAX(1,ABS(D27)),"Sì","No"),IF(D27=E27,"Sì","No")))</f>
        <v/>
      </c>
    </row>
    <row r="28">
      <c r="A28" s="4" t="inlineStr">
        <is>
          <t>Settembre</t>
        </is>
      </c>
      <c r="B28" s="4" t="inlineStr">
        <is>
          <t>B019 tabellare atteso</t>
        </is>
      </c>
      <c r="D28" s="29" t="n">
        <v>2233.6</v>
      </c>
      <c r="E28" s="30">
        <f>Settembre!X23</f>
        <v/>
      </c>
      <c r="F28" s="31">
        <f>IF(AND(ISNUMBER(D28),ISNUMBER(E28)),E28-D28,"")</f>
        <v/>
      </c>
      <c r="G28" s="4">
        <f>IF(AND(D28="",E28=""),"Sì",IF(AND(ISNUMBER(D28),ISNUMBER(E28)),IF(ABS(E28-D28)&lt;=1E-9*MAX(1,ABS(D28)),"Sì","No"),IF(D28=E28,"Sì","No")))</f>
        <v/>
      </c>
    </row>
    <row r="29">
      <c r="A29" s="4" t="inlineStr">
        <is>
          <t>Settembre</t>
        </is>
      </c>
      <c r="B29" s="4" t="inlineStr">
        <is>
          <t>B019 scatti_n atteso</t>
        </is>
      </c>
      <c r="D29" s="15" t="n">
        <v>6</v>
      </c>
      <c r="E29" s="32">
        <f>Settembre!Z23</f>
        <v/>
      </c>
      <c r="F29" s="31">
        <f>IF(AND(ISNUMBER(D29),ISNUMBER(E29)),E29-D29,"")</f>
        <v/>
      </c>
      <c r="G29" s="4">
        <f>IF(AND(D29="",E29=""),"Sì",IF(AND(ISNUMBER(D29),ISNUMBER(E29)),IF(ABS(E29-D29)&lt;=1E-9*MAX(1,ABS(D29)),"Sì","No"),IF(D29=E29,"Sì","No")))</f>
        <v/>
      </c>
    </row>
    <row r="30">
      <c r="A30" s="4" t="inlineStr">
        <is>
          <t>Settembre</t>
        </is>
      </c>
      <c r="B30" s="4" t="inlineStr">
        <is>
          <t>B019 scatti atteso</t>
        </is>
      </c>
      <c r="D30" s="29" t="n">
        <v>136.98</v>
      </c>
      <c r="E30" s="30">
        <f>Settembre!AA23</f>
        <v/>
      </c>
      <c r="F30" s="31">
        <f>IF(AND(ISNUMBER(D30),ISNUMBER(E30)),E30-D30,"")</f>
        <v/>
      </c>
      <c r="G30" s="4">
        <f>IF(AND(D30="",E30=""),"Sì",IF(AND(ISNUMBER(D30),ISNUMBER(E30)),IF(ABS(E30-D30)&lt;=1E-9*MAX(1,ABS(D30)),"Sì","No"),IF(D30=E30,"Sì","No")))</f>
        <v/>
      </c>
    </row>
    <row r="31">
      <c r="A31" s="4" t="inlineStr">
        <is>
          <t>Settembre</t>
        </is>
      </c>
      <c r="B31" s="4" t="inlineStr">
        <is>
          <t>B019 contributi_inps atteso</t>
        </is>
      </c>
      <c r="D31" s="29" t="n">
        <v>217.86</v>
      </c>
      <c r="E31" s="30">
        <f>Settembre!AB23</f>
        <v/>
      </c>
      <c r="F31" s="31">
        <f>IF(AND(ISNUMBER(D31),ISNUMBER(E31)),E31-D31,"")</f>
        <v/>
      </c>
      <c r="G31" s="4">
        <f>IF(AND(D31="",E31=""),"Sì",IF(AND(ISNUMBER(D31),ISNUMBER(E31)),IF(ABS(E31-D31)&lt;=1E-9*MAX(1,ABS(D31)),"Sì","No"),IF(D31=E31,"Sì","No")))</f>
        <v/>
      </c>
    </row>
    <row r="32">
      <c r="A32" s="4" t="inlineStr">
        <is>
          <t>Settembre</t>
        </is>
      </c>
      <c r="B32" s="4" t="inlineStr">
        <is>
          <t>B019 quota_tfr atteso</t>
        </is>
      </c>
      <c r="D32" s="29" t="n">
        <v>204.86</v>
      </c>
      <c r="E32" s="30">
        <f>Settembre!AC23</f>
        <v/>
      </c>
      <c r="F32" s="31">
        <f>IF(AND(ISNUMBER(D32),ISNUMBER(E32)),E32-D32,"")</f>
        <v/>
      </c>
      <c r="G32" s="4">
        <f>IF(AND(D32="",E32=""),"Sì",IF(AND(ISNUMBER(D32),ISNUMBER(E32)),IF(ABS(E32-D32)&lt;=1E-9*MAX(1,ABS(D32)),"Sì","No"),IF(D32=E32,"Sì","No")))</f>
        <v/>
      </c>
    </row>
    <row r="33">
      <c r="A33" s="4" t="inlineStr">
        <is>
          <t>Settembre</t>
        </is>
      </c>
      <c r="B33" s="4" t="inlineStr">
        <is>
          <t>B019 ferie_residuo atteso</t>
        </is>
      </c>
      <c r="D33" s="29" t="n">
        <v>22.2797</v>
      </c>
      <c r="E33" s="30">
        <f>Settembre!AE23</f>
        <v/>
      </c>
      <c r="F33" s="31">
        <f>IF(AND(ISNUMBER(D33),ISNUMBER(E33)),E33-D33,"")</f>
        <v/>
      </c>
      <c r="G33" s="4">
        <f>IF(AND(D33="",E33=""),"Sì",IF(AND(ISNUMBER(D33),ISNUMBER(E33)),IF(ABS(E33-D33)&lt;=1E-9*MAX(1,ABS(D33)),"Sì","No"),IF(D33=E33,"Sì","No")))</f>
        <v/>
      </c>
    </row>
    <row r="34">
      <c r="A34" s="4" t="inlineStr">
        <is>
          <t>Settembre</t>
        </is>
      </c>
      <c r="B34" s="4" t="inlineStr">
        <is>
          <t>B019 netto atteso</t>
        </is>
      </c>
      <c r="D34" s="29" t="n">
        <v>1752.11</v>
      </c>
      <c r="E34" s="30">
        <f>Settembre!AG23</f>
        <v/>
      </c>
      <c r="F34" s="31">
        <f>IF(AND(ISNUMBER(D34),ISNUMBER(E34)),E34-D34,"")</f>
        <v/>
      </c>
      <c r="G34" s="4">
        <f>IF(AND(D34="",E34=""),"Sì",IF(AND(ISNUMBER(D34),ISNUMBER(E34)),IF(ABS(E34-D34)&lt;=1E-9*MAX(1,ABS(D34)),"Sì","No"),IF(D34=E34,"Sì","No")))</f>
        <v/>
      </c>
    </row>
    <row r="35">
      <c r="A35" s="4" t="inlineStr">
        <is>
          <t>Settembre</t>
        </is>
      </c>
      <c r="B35" s="4" t="inlineStr">
        <is>
          <t>B025 tabellare atteso</t>
        </is>
      </c>
      <c r="D35" s="29" t="n">
        <v>1395.89</v>
      </c>
      <c r="E35" s="30">
        <f>Settembre!X29</f>
        <v/>
      </c>
      <c r="F35" s="31">
        <f>IF(AND(ISNUMBER(D35),ISNUMBER(E35)),E35-D35,"")</f>
        <v/>
      </c>
      <c r="G35" s="4">
        <f>IF(AND(D35="",E35=""),"Sì",IF(AND(ISNUMBER(D35),ISNUMBER(E35)),IF(ABS(E35-D35)&lt;=1E-9*MAX(1,ABS(D35)),"Sì","No"),IF(D35=E35,"Sì","No")))</f>
        <v/>
      </c>
    </row>
    <row r="36">
      <c r="A36" s="4" t="inlineStr">
        <is>
          <t>Settembre</t>
        </is>
      </c>
      <c r="B36" s="4" t="inlineStr">
        <is>
          <t>B025 scatti_n atteso</t>
        </is>
      </c>
      <c r="D36" s="15" t="n">
        <v>2</v>
      </c>
      <c r="E36" s="32">
        <f>Settembre!Z29</f>
        <v/>
      </c>
      <c r="F36" s="31">
        <f>IF(AND(ISNUMBER(D36),ISNUMBER(E36)),E36-D36,"")</f>
        <v/>
      </c>
      <c r="G36" s="4">
        <f>IF(AND(D36="",E36=""),"Sì",IF(AND(ISNUMBER(D36),ISNUMBER(E36)),IF(ABS(E36-D36)&lt;=1E-9*MAX(1,ABS(D36)),"Sì","No"),IF(D36=E36,"Sì","No")))</f>
        <v/>
      </c>
    </row>
    <row r="37">
      <c r="A37" s="4" t="inlineStr">
        <is>
          <t>Settembre</t>
        </is>
      </c>
      <c r="B37" s="4" t="inlineStr">
        <is>
          <t>B025 scatti atteso</t>
        </is>
      </c>
      <c r="D37" s="29" t="n">
        <v>38.94</v>
      </c>
      <c r="E37" s="30">
        <f>Settembre!AA29</f>
        <v/>
      </c>
      <c r="F37" s="31">
        <f>IF(AND(ISNUMBER(D37),ISNUMBER(E37)),E37-D37,"")</f>
        <v/>
      </c>
      <c r="G37" s="4">
        <f>IF(AND(D37="",E37=""),"Sì",IF(AND(ISNUMBER(D37),ISNUMBER(E37)),IF(ABS(E37-D37)&lt;=1E-9*MAX(1,ABS(D37)),"Sì","No"),IF(D37=E37,"Sì","No")))</f>
        <v/>
      </c>
    </row>
    <row r="38">
      <c r="A38" s="4" t="inlineStr">
        <is>
          <t>Settembre</t>
        </is>
      </c>
      <c r="B38" s="4" t="inlineStr">
        <is>
          <t>B025 contributi_inps atteso</t>
        </is>
      </c>
      <c r="D38" s="29" t="n">
        <v>130.07</v>
      </c>
      <c r="E38" s="30">
        <f>Settembre!AB29</f>
        <v/>
      </c>
      <c r="F38" s="31">
        <f>IF(AND(ISNUMBER(D38),ISNUMBER(E38)),E38-D38,"")</f>
        <v/>
      </c>
      <c r="G38" s="4">
        <f>IF(AND(D38="",E38=""),"Sì",IF(AND(ISNUMBER(D38),ISNUMBER(E38)),IF(ABS(E38-D38)&lt;=1E-9*MAX(1,ABS(D38)),"Sì","No"),IF(D38=E38,"Sì","No")))</f>
        <v/>
      </c>
    </row>
    <row r="39">
      <c r="A39" s="4" t="inlineStr">
        <is>
          <t>Settembre</t>
        </is>
      </c>
      <c r="B39" s="4" t="inlineStr">
        <is>
          <t>B025 quota_tfr atteso</t>
        </is>
      </c>
      <c r="D39" s="29" t="n">
        <v>122.32</v>
      </c>
      <c r="E39" s="30">
        <f>Settembre!AC29</f>
        <v/>
      </c>
      <c r="F39" s="31">
        <f>IF(AND(ISNUMBER(D39),ISNUMBER(E39)),E39-D39,"")</f>
        <v/>
      </c>
      <c r="G39" s="4">
        <f>IF(AND(D39="",E39=""),"Sì",IF(AND(ISNUMBER(D39),ISNUMBER(E39)),IF(ABS(E39-D39)&lt;=1E-9*MAX(1,ABS(D39)),"Sì","No"),IF(D39=E39,"Sì","No")))</f>
        <v/>
      </c>
    </row>
    <row r="40">
      <c r="A40" s="4" t="inlineStr">
        <is>
          <t>Settembre</t>
        </is>
      </c>
      <c r="B40" s="4" t="inlineStr">
        <is>
          <t>B025 ferie_residuo atteso</t>
        </is>
      </c>
      <c r="D40" s="29" t="n">
        <v>18.5615</v>
      </c>
      <c r="E40" s="30">
        <f>Settembre!AE29</f>
        <v/>
      </c>
      <c r="F40" s="31">
        <f>IF(AND(ISNUMBER(D40),ISNUMBER(E40)),E40-D40,"")</f>
        <v/>
      </c>
      <c r="G40" s="4">
        <f>IF(AND(D40="",E40=""),"Sì",IF(AND(ISNUMBER(D40),ISNUMBER(E40)),IF(ABS(E40-D40)&lt;=1E-9*MAX(1,ABS(D40)),"Sì","No"),IF(D40=E40,"Sì","No")))</f>
        <v/>
      </c>
    </row>
    <row r="41">
      <c r="A41" s="4" t="inlineStr">
        <is>
          <t>Settembre</t>
        </is>
      </c>
      <c r="B41" s="4" t="inlineStr">
        <is>
          <t>B025 netto atteso</t>
        </is>
      </c>
      <c r="D41" s="29" t="n">
        <v>1131.9</v>
      </c>
      <c r="E41" s="30">
        <f>Settembre!AG29</f>
        <v/>
      </c>
      <c r="F41" s="31">
        <f>IF(AND(ISNUMBER(D41),ISNUMBER(E41)),E41-D41,"")</f>
        <v/>
      </c>
      <c r="G41" s="4">
        <f>IF(AND(D41="",E41=""),"Sì",IF(AND(ISNUMBER(D41),ISNUMBER(E41)),IF(ABS(E41-D41)&lt;=1E-9*MAX(1,ABS(D41)),"Sì","No"),IF(D41=E41,"Sì","No")))</f>
        <v/>
      </c>
    </row>
    <row r="42">
      <c r="A42" s="4" t="inlineStr">
        <is>
          <t>Settembre</t>
        </is>
      </c>
      <c r="B42" s="4" t="inlineStr">
        <is>
          <t>B031 tabellare atteso</t>
        </is>
      </c>
      <c r="D42" s="29" t="n">
        <v>890.84</v>
      </c>
      <c r="E42" s="30">
        <f>Settembre!X35</f>
        <v/>
      </c>
      <c r="F42" s="31">
        <f>IF(AND(ISNUMBER(D42),ISNUMBER(E42)),E42-D42,"")</f>
        <v/>
      </c>
      <c r="G42" s="4">
        <f>IF(AND(D42="",E42=""),"Sì",IF(AND(ISNUMBER(D42),ISNUMBER(E42)),IF(ABS(E42-D42)&lt;=1E-9*MAX(1,ABS(D42)),"Sì","No"),IF(D42=E42,"Sì","No")))</f>
        <v/>
      </c>
    </row>
    <row r="43">
      <c r="A43" s="4" t="inlineStr">
        <is>
          <t>Settembre</t>
        </is>
      </c>
      <c r="B43" s="4" t="inlineStr">
        <is>
          <t>B031 scatti_n atteso</t>
        </is>
      </c>
      <c r="D43" s="15" t="n">
        <v>4</v>
      </c>
      <c r="E43" s="32">
        <f>Settembre!Z35</f>
        <v/>
      </c>
      <c r="F43" s="31">
        <f>IF(AND(ISNUMBER(D43),ISNUMBER(E43)),E43-D43,"")</f>
        <v/>
      </c>
      <c r="G43" s="4">
        <f>IF(AND(D43="",E43=""),"Sì",IF(AND(ISNUMBER(D43),ISNUMBER(E43)),IF(ABS(E43-D43)&lt;=1E-9*MAX(1,ABS(D43)),"Sì","No"),IF(D43=E43,"Sì","No")))</f>
        <v/>
      </c>
    </row>
    <row r="44">
      <c r="A44" s="4" t="inlineStr">
        <is>
          <t>Settembre</t>
        </is>
      </c>
      <c r="B44" s="4" t="inlineStr">
        <is>
          <t>B031 scatti atteso</t>
        </is>
      </c>
      <c r="D44" s="29" t="n">
        <v>41.32</v>
      </c>
      <c r="E44" s="30">
        <f>Settembre!AA35</f>
        <v/>
      </c>
      <c r="F44" s="31">
        <f>IF(AND(ISNUMBER(D44),ISNUMBER(E44)),E44-D44,"")</f>
        <v/>
      </c>
      <c r="G44" s="4">
        <f>IF(AND(D44="",E44=""),"Sì",IF(AND(ISNUMBER(D44),ISNUMBER(E44)),IF(ABS(E44-D44)&lt;=1E-9*MAX(1,ABS(D44)),"Sì","No"),IF(D44=E44,"Sì","No")))</f>
        <v/>
      </c>
    </row>
    <row r="45">
      <c r="A45" s="4" t="inlineStr">
        <is>
          <t>Settembre</t>
        </is>
      </c>
      <c r="B45" s="4" t="inlineStr">
        <is>
          <t>B031 contributi_inps atteso</t>
        </is>
      </c>
      <c r="D45" s="29" t="n">
        <v>86.34999999999999</v>
      </c>
      <c r="E45" s="30">
        <f>Settembre!AB35</f>
        <v/>
      </c>
      <c r="F45" s="31">
        <f>IF(AND(ISNUMBER(D45),ISNUMBER(E45)),E45-D45,"")</f>
        <v/>
      </c>
      <c r="G45" s="4">
        <f>IF(AND(D45="",E45=""),"Sì",IF(AND(ISNUMBER(D45),ISNUMBER(E45)),IF(ABS(E45-D45)&lt;=1E-9*MAX(1,ABS(D45)),"Sì","No"),IF(D45=E45,"Sì","No")))</f>
        <v/>
      </c>
    </row>
    <row r="46">
      <c r="A46" s="4" t="inlineStr">
        <is>
          <t>Settembre</t>
        </is>
      </c>
      <c r="B46" s="4" t="inlineStr">
        <is>
          <t>B031 quota_tfr atteso</t>
        </is>
      </c>
      <c r="D46" s="29" t="n">
        <v>81.20999999999999</v>
      </c>
      <c r="E46" s="30">
        <f>Settembre!AC35</f>
        <v/>
      </c>
      <c r="F46" s="31">
        <f>IF(AND(ISNUMBER(D46),ISNUMBER(E46)),E46-D46,"")</f>
        <v/>
      </c>
      <c r="G46" s="4">
        <f>IF(AND(D46="",E46=""),"Sì",IF(AND(ISNUMBER(D46),ISNUMBER(E46)),IF(ABS(E46-D46)&lt;=1E-9*MAX(1,ABS(D46)),"Sì","No"),IF(D46=E46,"Sì","No")))</f>
        <v/>
      </c>
    </row>
    <row r="47">
      <c r="A47" s="4" t="inlineStr">
        <is>
          <t>Settembre</t>
        </is>
      </c>
      <c r="B47" s="4" t="inlineStr">
        <is>
          <t>B031 ferie_residuo atteso</t>
        </is>
      </c>
      <c r="D47" s="29" t="n">
        <v>4.921</v>
      </c>
      <c r="E47" s="30">
        <f>Settembre!AE35</f>
        <v/>
      </c>
      <c r="F47" s="31">
        <f>IF(AND(ISNUMBER(D47),ISNUMBER(E47)),E47-D47,"")</f>
        <v/>
      </c>
      <c r="G47" s="4">
        <f>IF(AND(D47="",E47=""),"Sì",IF(AND(ISNUMBER(D47),ISNUMBER(E47)),IF(ABS(E47-D47)&lt;=1E-9*MAX(1,ABS(D47)),"Sì","No"),IF(D47=E47,"Sì","No")))</f>
        <v/>
      </c>
    </row>
    <row r="48">
      <c r="A48" s="4" t="inlineStr">
        <is>
          <t>Settembre</t>
        </is>
      </c>
      <c r="B48" s="4" t="inlineStr">
        <is>
          <t>B031 netto atteso</t>
        </is>
      </c>
      <c r="D48" s="29" t="n">
        <v>807.17</v>
      </c>
      <c r="E48" s="30">
        <f>Settembre!AG35</f>
        <v/>
      </c>
      <c r="F48" s="31">
        <f>IF(AND(ISNUMBER(D48),ISNUMBER(E48)),E48-D48,"")</f>
        <v/>
      </c>
      <c r="G48" s="4">
        <f>IF(AND(D48="",E48=""),"Sì",IF(AND(ISNUMBER(D48),ISNUMBER(E48)),IF(ABS(E48-D48)&lt;=1E-9*MAX(1,ABS(D48)),"Sì","No"),IF(D48=E48,"Sì","No")))</f>
        <v/>
      </c>
    </row>
    <row r="49">
      <c r="A49" s="4" t="inlineStr">
        <is>
          <t>Settembre</t>
        </is>
      </c>
      <c r="B49" s="4" t="inlineStr">
        <is>
          <t>B037 tabellare atteso</t>
        </is>
      </c>
      <c r="D49" s="29" t="n">
        <v>1395.89</v>
      </c>
      <c r="E49" s="30">
        <f>Settembre!X41</f>
        <v/>
      </c>
      <c r="F49" s="31">
        <f>IF(AND(ISNUMBER(D49),ISNUMBER(E49)),E49-D49,"")</f>
        <v/>
      </c>
      <c r="G49" s="4">
        <f>IF(AND(D49="",E49=""),"Sì",IF(AND(ISNUMBER(D49),ISNUMBER(E49)),IF(ABS(E49-D49)&lt;=1E-9*MAX(1,ABS(D49)),"Sì","No"),IF(D49=E49,"Sì","No")))</f>
        <v/>
      </c>
    </row>
    <row r="50">
      <c r="A50" s="4" t="inlineStr">
        <is>
          <t>Settembre</t>
        </is>
      </c>
      <c r="B50" s="4" t="inlineStr">
        <is>
          <t>B037 scatti_n atteso</t>
        </is>
      </c>
      <c r="D50" s="15" t="n">
        <v>4</v>
      </c>
      <c r="E50" s="32">
        <f>Settembre!Z41</f>
        <v/>
      </c>
      <c r="F50" s="31">
        <f>IF(AND(ISNUMBER(D50),ISNUMBER(E50)),E50-D50,"")</f>
        <v/>
      </c>
      <c r="G50" s="4">
        <f>IF(AND(D50="",E50=""),"Sì",IF(AND(ISNUMBER(D50),ISNUMBER(E50)),IF(ABS(E50-D50)&lt;=1E-9*MAX(1,ABS(D50)),"Sì","No"),IF(D50=E50,"Sì","No")))</f>
        <v/>
      </c>
    </row>
    <row r="51">
      <c r="A51" s="4" t="inlineStr">
        <is>
          <t>Settembre</t>
        </is>
      </c>
      <c r="B51" s="4" t="inlineStr">
        <is>
          <t>B037 scatti atteso</t>
        </is>
      </c>
      <c r="D51" s="29" t="n">
        <v>77.88</v>
      </c>
      <c r="E51" s="30">
        <f>Settembre!AA41</f>
        <v/>
      </c>
      <c r="F51" s="31">
        <f>IF(AND(ISNUMBER(D51),ISNUMBER(E51)),E51-D51,"")</f>
        <v/>
      </c>
      <c r="G51" s="4">
        <f>IF(AND(D51="",E51=""),"Sì",IF(AND(ISNUMBER(D51),ISNUMBER(E51)),IF(ABS(E51-D51)&lt;=1E-9*MAX(1,ABS(D51)),"Sì","No"),IF(D51=E51,"Sì","No")))</f>
        <v/>
      </c>
    </row>
    <row r="52">
      <c r="A52" s="4" t="inlineStr">
        <is>
          <t>Settembre</t>
        </is>
      </c>
      <c r="B52" s="4" t="inlineStr">
        <is>
          <t>B037 contributi_inps atteso</t>
        </is>
      </c>
      <c r="D52" s="29" t="n">
        <v>135.44</v>
      </c>
      <c r="E52" s="30">
        <f>Settembre!AB41</f>
        <v/>
      </c>
      <c r="F52" s="31">
        <f>IF(AND(ISNUMBER(D52),ISNUMBER(E52)),E52-D52,"")</f>
        <v/>
      </c>
      <c r="G52" s="4">
        <f>IF(AND(D52="",E52=""),"Sì",IF(AND(ISNUMBER(D52),ISNUMBER(E52)),IF(ABS(E52-D52)&lt;=1E-9*MAX(1,ABS(D52)),"Sì","No"),IF(D52=E52,"Sì","No")))</f>
        <v/>
      </c>
    </row>
    <row r="53">
      <c r="A53" s="4" t="inlineStr">
        <is>
          <t>Settembre</t>
        </is>
      </c>
      <c r="B53" s="4" t="inlineStr">
        <is>
          <t>B037 quota_tfr atteso</t>
        </is>
      </c>
      <c r="D53" s="29" t="n">
        <v>127.36</v>
      </c>
      <c r="E53" s="30">
        <f>Settembre!AC41</f>
        <v/>
      </c>
      <c r="F53" s="31">
        <f>IF(AND(ISNUMBER(D53),ISNUMBER(E53)),E53-D53,"")</f>
        <v/>
      </c>
      <c r="G53" s="4">
        <f>IF(AND(D53="",E53=""),"Sì",IF(AND(ISNUMBER(D53),ISNUMBER(E53)),IF(ABS(E53-D53)&lt;=1E-9*MAX(1,ABS(D53)),"Sì","No"),IF(D53=E53,"Sì","No")))</f>
        <v/>
      </c>
    </row>
    <row r="54">
      <c r="A54" s="4" t="inlineStr">
        <is>
          <t>Settembre</t>
        </is>
      </c>
      <c r="B54" s="4" t="inlineStr">
        <is>
          <t>B037 ferie_residuo atteso</t>
        </is>
      </c>
      <c r="D54" s="29" t="n">
        <v>7.9933</v>
      </c>
      <c r="E54" s="30">
        <f>Settembre!AE41</f>
        <v/>
      </c>
      <c r="F54" s="31">
        <f>IF(AND(ISNUMBER(D54),ISNUMBER(E54)),E54-D54,"")</f>
        <v/>
      </c>
      <c r="G54" s="4">
        <f>IF(AND(D54="",E54=""),"Sì",IF(AND(ISNUMBER(D54),ISNUMBER(E54)),IF(ABS(E54-D54)&lt;=1E-9*MAX(1,ABS(D54)),"Sì","No"),IF(D54=E54,"Sì","No")))</f>
        <v/>
      </c>
    </row>
    <row r="55">
      <c r="A55" s="4" t="inlineStr">
        <is>
          <t>Settembre</t>
        </is>
      </c>
      <c r="B55" s="4" t="inlineStr">
        <is>
          <t>B037 netto atteso</t>
        </is>
      </c>
      <c r="D55" s="29" t="n">
        <v>1169.83</v>
      </c>
      <c r="E55" s="30">
        <f>Settembre!AG41</f>
        <v/>
      </c>
      <c r="F55" s="31">
        <f>IF(AND(ISNUMBER(D55),ISNUMBER(E55)),E55-D55,"")</f>
        <v/>
      </c>
      <c r="G55" s="4">
        <f>IF(AND(D55="",E55=""),"Sì",IF(AND(ISNUMBER(D55),ISNUMBER(E55)),IF(ABS(E55-D55)&lt;=1E-9*MAX(1,ABS(D55)),"Sì","No"),IF(D55=E55,"Sì","No")))</f>
        <v/>
      </c>
    </row>
    <row r="56">
      <c r="A56" s="4" t="inlineStr">
        <is>
          <t>Settembre</t>
        </is>
      </c>
      <c r="B56" s="4" t="inlineStr">
        <is>
          <t>B043 tabellare atteso</t>
        </is>
      </c>
      <c r="D56" s="29" t="n">
        <v>1658.01</v>
      </c>
      <c r="E56" s="30">
        <f>Settembre!X47</f>
        <v/>
      </c>
      <c r="F56" s="31">
        <f>IF(AND(ISNUMBER(D56),ISNUMBER(E56)),E56-D56,"")</f>
        <v/>
      </c>
      <c r="G56" s="4">
        <f>IF(AND(D56="",E56=""),"Sì",IF(AND(ISNUMBER(D56),ISNUMBER(E56)),IF(ABS(E56-D56)&lt;=1E-9*MAX(1,ABS(D56)),"Sì","No"),IF(D56=E56,"Sì","No")))</f>
        <v/>
      </c>
    </row>
    <row r="57">
      <c r="A57" s="4" t="inlineStr">
        <is>
          <t>Settembre</t>
        </is>
      </c>
      <c r="B57" s="4" t="inlineStr">
        <is>
          <t>B043 scatti_n atteso</t>
        </is>
      </c>
      <c r="D57" s="15" t="n">
        <v>2</v>
      </c>
      <c r="E57" s="32">
        <f>Settembre!Z47</f>
        <v/>
      </c>
      <c r="F57" s="31">
        <f>IF(AND(ISNUMBER(D57),ISNUMBER(E57)),E57-D57,"")</f>
        <v/>
      </c>
      <c r="G57" s="4">
        <f>IF(AND(D57="",E57=""),"Sì",IF(AND(ISNUMBER(D57),ISNUMBER(E57)),IF(ABS(E57-D57)&lt;=1E-9*MAX(1,ABS(D57)),"Sì","No"),IF(D57=E57,"Sì","No")))</f>
        <v/>
      </c>
    </row>
    <row r="58">
      <c r="A58" s="4" t="inlineStr">
        <is>
          <t>Settembre</t>
        </is>
      </c>
      <c r="B58" s="4" t="inlineStr">
        <is>
          <t>B043 scatti atteso</t>
        </is>
      </c>
      <c r="D58" s="29" t="n">
        <v>40.6</v>
      </c>
      <c r="E58" s="30">
        <f>Settembre!AA47</f>
        <v/>
      </c>
      <c r="F58" s="31">
        <f>IF(AND(ISNUMBER(D58),ISNUMBER(E58)),E58-D58,"")</f>
        <v/>
      </c>
      <c r="G58" s="4">
        <f>IF(AND(D58="",E58=""),"Sì",IF(AND(ISNUMBER(D58),ISNUMBER(E58)),IF(ABS(E58-D58)&lt;=1E-9*MAX(1,ABS(D58)),"Sì","No"),IF(D58=E58,"Sì","No")))</f>
        <v/>
      </c>
    </row>
    <row r="59">
      <c r="A59" s="4" t="inlineStr">
        <is>
          <t>Settembre</t>
        </is>
      </c>
      <c r="B59" s="4" t="inlineStr">
        <is>
          <t>B043 contributi_inps atteso</t>
        </is>
      </c>
      <c r="D59" s="29" t="n">
        <v>163.45</v>
      </c>
      <c r="E59" s="30">
        <f>Settembre!AB47</f>
        <v/>
      </c>
      <c r="F59" s="31">
        <f>IF(AND(ISNUMBER(D59),ISNUMBER(E59)),E59-D59,"")</f>
        <v/>
      </c>
      <c r="G59" s="4">
        <f>IF(AND(D59="",E59=""),"Sì",IF(AND(ISNUMBER(D59),ISNUMBER(E59)),IF(ABS(E59-D59)&lt;=1E-9*MAX(1,ABS(D59)),"Sì","No"),IF(D59=E59,"Sì","No")))</f>
        <v/>
      </c>
    </row>
    <row r="60">
      <c r="A60" s="4" t="inlineStr">
        <is>
          <t>Settembre</t>
        </is>
      </c>
      <c r="B60" s="4" t="inlineStr">
        <is>
          <t>B043 quota_tfr atteso</t>
        </is>
      </c>
      <c r="D60" s="29" t="n">
        <v>153.71</v>
      </c>
      <c r="E60" s="30">
        <f>Settembre!AC47</f>
        <v/>
      </c>
      <c r="F60" s="31">
        <f>IF(AND(ISNUMBER(D60),ISNUMBER(E60)),E60-D60,"")</f>
        <v/>
      </c>
      <c r="G60" s="4">
        <f>IF(AND(D60="",E60=""),"Sì",IF(AND(ISNUMBER(D60),ISNUMBER(E60)),IF(ABS(E60-D60)&lt;=1E-9*MAX(1,ABS(D60)),"Sì","No"),IF(D60=E60,"Sì","No")))</f>
        <v/>
      </c>
    </row>
    <row r="61">
      <c r="A61" s="4" t="inlineStr">
        <is>
          <t>Settembre</t>
        </is>
      </c>
      <c r="B61" s="4" t="inlineStr">
        <is>
          <t>B043 ferie_residuo atteso</t>
        </is>
      </c>
      <c r="D61" s="29" t="n">
        <v>22.1302</v>
      </c>
      <c r="E61" s="30">
        <f>Settembre!AE47</f>
        <v/>
      </c>
      <c r="F61" s="31">
        <f>IF(AND(ISNUMBER(D61),ISNUMBER(E61)),E61-D61,"")</f>
        <v/>
      </c>
      <c r="G61" s="4">
        <f>IF(AND(D61="",E61=""),"Sì",IF(AND(ISNUMBER(D61),ISNUMBER(E61)),IF(ABS(E61-D61)&lt;=1E-9*MAX(1,ABS(D61)),"Sì","No"),IF(D61=E61,"Sì","No")))</f>
        <v/>
      </c>
    </row>
    <row r="62">
      <c r="A62" s="4" t="inlineStr">
        <is>
          <t>Settembre</t>
        </is>
      </c>
      <c r="B62" s="4" t="inlineStr">
        <is>
          <t>B043 netto atteso</t>
        </is>
      </c>
      <c r="D62" s="29" t="n">
        <v>1367.75</v>
      </c>
      <c r="E62" s="30">
        <f>Settembre!AG47</f>
        <v/>
      </c>
      <c r="F62" s="31">
        <f>IF(AND(ISNUMBER(D62),ISNUMBER(E62)),E62-D62,"")</f>
        <v/>
      </c>
      <c r="G62" s="4">
        <f>IF(AND(D62="",E62=""),"Sì",IF(AND(ISNUMBER(D62),ISNUMBER(E62)),IF(ABS(E62-D62)&lt;=1E-9*MAX(1,ABS(D62)),"Sì","No"),IF(D62=E62,"Sì","No")))</f>
        <v/>
      </c>
    </row>
    <row r="63">
      <c r="A63" s="4" t="inlineStr">
        <is>
          <t>Settembre</t>
        </is>
      </c>
      <c r="B63" s="4" t="inlineStr">
        <is>
          <t>B049 tabellare atteso</t>
        </is>
      </c>
      <c r="D63" s="29" t="n">
        <v>2723.45</v>
      </c>
      <c r="E63" s="30">
        <f>Settembre!X53</f>
        <v/>
      </c>
      <c r="F63" s="31">
        <f>IF(AND(ISNUMBER(D63),ISNUMBER(E63)),E63-D63,"")</f>
        <v/>
      </c>
      <c r="G63" s="4">
        <f>IF(AND(D63="",E63=""),"Sì",IF(AND(ISNUMBER(D63),ISNUMBER(E63)),IF(ABS(E63-D63)&lt;=1E-9*MAX(1,ABS(D63)),"Sì","No"),IF(D63=E63,"Sì","No")))</f>
        <v/>
      </c>
    </row>
    <row r="64">
      <c r="A64" s="4" t="inlineStr">
        <is>
          <t>Settembre</t>
        </is>
      </c>
      <c r="B64" s="4" t="inlineStr">
        <is>
          <t>B049 scatti_n atteso</t>
        </is>
      </c>
      <c r="D64" s="15" t="n">
        <v>3</v>
      </c>
      <c r="E64" s="32">
        <f>Settembre!Z53</f>
        <v/>
      </c>
      <c r="F64" s="31">
        <f>IF(AND(ISNUMBER(D64),ISNUMBER(E64)),E64-D64,"")</f>
        <v/>
      </c>
      <c r="G64" s="4">
        <f>IF(AND(D64="",E64=""),"Sì",IF(AND(ISNUMBER(D64),ISNUMBER(E64)),IF(ABS(E64-D64)&lt;=1E-9*MAX(1,ABS(D64)),"Sì","No"),IF(D64=E64,"Sì","No")))</f>
        <v/>
      </c>
    </row>
    <row r="65">
      <c r="A65" s="4" t="inlineStr">
        <is>
          <t>Settembre</t>
        </is>
      </c>
      <c r="B65" s="4" t="inlineStr">
        <is>
          <t>B049 scatti atteso</t>
        </is>
      </c>
      <c r="D65" s="29" t="n">
        <v>76.38</v>
      </c>
      <c r="E65" s="30">
        <f>Settembre!AA53</f>
        <v/>
      </c>
      <c r="F65" s="31">
        <f>IF(AND(ISNUMBER(D65),ISNUMBER(E65)),E65-D65,"")</f>
        <v/>
      </c>
      <c r="G65" s="4">
        <f>IF(AND(D65="",E65=""),"Sì",IF(AND(ISNUMBER(D65),ISNUMBER(E65)),IF(ABS(E65-D65)&lt;=1E-9*MAX(1,ABS(D65)),"Sì","No"),IF(D65=E65,"Sì","No")))</f>
        <v/>
      </c>
    </row>
    <row r="66">
      <c r="A66" s="4" t="inlineStr">
        <is>
          <t>Settembre</t>
        </is>
      </c>
      <c r="B66" s="4" t="inlineStr">
        <is>
          <t>B049 contributi_inps atteso</t>
        </is>
      </c>
      <c r="D66" s="29" t="n">
        <v>257.3</v>
      </c>
      <c r="E66" s="30">
        <f>Settembre!AB53</f>
        <v/>
      </c>
      <c r="F66" s="31">
        <f>IF(AND(ISNUMBER(D66),ISNUMBER(E66)),E66-D66,"")</f>
        <v/>
      </c>
      <c r="G66" s="4">
        <f>IF(AND(D66="",E66=""),"Sì",IF(AND(ISNUMBER(D66),ISNUMBER(E66)),IF(ABS(E66-D66)&lt;=1E-9*MAX(1,ABS(D66)),"Sì","No"),IF(D66=E66,"Sì","No")))</f>
        <v/>
      </c>
    </row>
    <row r="67">
      <c r="A67" s="4" t="inlineStr">
        <is>
          <t>Settembre</t>
        </is>
      </c>
      <c r="B67" s="4" t="inlineStr">
        <is>
          <t>B049 quota_tfr atteso</t>
        </is>
      </c>
      <c r="D67" s="29" t="n">
        <v>241.96</v>
      </c>
      <c r="E67" s="30">
        <f>Settembre!AC53</f>
        <v/>
      </c>
      <c r="F67" s="31">
        <f>IF(AND(ISNUMBER(D67),ISNUMBER(E67)),E67-D67,"")</f>
        <v/>
      </c>
      <c r="G67" s="4">
        <f>IF(AND(D67="",E67=""),"Sì",IF(AND(ISNUMBER(D67),ISNUMBER(E67)),IF(ABS(E67-D67)&lt;=1E-9*MAX(1,ABS(D67)),"Sì","No"),IF(D67=E67,"Sì","No")))</f>
        <v/>
      </c>
    </row>
    <row r="68">
      <c r="A68" s="4" t="inlineStr">
        <is>
          <t>Settembre</t>
        </is>
      </c>
      <c r="B68" s="4" t="inlineStr">
        <is>
          <t>B049 ferie_residuo atteso</t>
        </is>
      </c>
      <c r="D68" s="29" t="n">
        <v>11.6962</v>
      </c>
      <c r="E68" s="30">
        <f>Settembre!AE53</f>
        <v/>
      </c>
      <c r="F68" s="31">
        <f>IF(AND(ISNUMBER(D68),ISNUMBER(E68)),E68-D68,"")</f>
        <v/>
      </c>
      <c r="G68" s="4">
        <f>IF(AND(D68="",E68=""),"Sì",IF(AND(ISNUMBER(D68),ISNUMBER(E68)),IF(ABS(E68-D68)&lt;=1E-9*MAX(1,ABS(D68)),"Sì","No"),IF(D68=E68,"Sì","No")))</f>
        <v/>
      </c>
    </row>
    <row r="69">
      <c r="A69" s="4" t="inlineStr">
        <is>
          <t>Settembre</t>
        </is>
      </c>
      <c r="B69" s="4" t="inlineStr">
        <is>
          <t>B049 netto atteso</t>
        </is>
      </c>
      <c r="D69" s="29" t="n">
        <v>2009.9</v>
      </c>
      <c r="E69" s="30">
        <f>Settembre!AG53</f>
        <v/>
      </c>
      <c r="F69" s="31">
        <f>IF(AND(ISNUMBER(D69),ISNUMBER(E69)),E69-D69,"")</f>
        <v/>
      </c>
      <c r="G69" s="4">
        <f>IF(AND(D69="",E69=""),"Sì",IF(AND(ISNUMBER(D69),ISNUMBER(E69)),IF(ABS(E69-D69)&lt;=1E-9*MAX(1,ABS(D69)),"Sì","No"),IF(D69=E69,"Sì","No")))</f>
        <v/>
      </c>
    </row>
    <row r="70">
      <c r="A70" s="4" t="inlineStr">
        <is>
          <t>Settembre</t>
        </is>
      </c>
      <c r="B70" s="4" t="inlineStr">
        <is>
          <t>B055 tabellare atteso</t>
        </is>
      </c>
      <c r="D70" s="29" t="n">
        <v>1658.01</v>
      </c>
      <c r="E70" s="30">
        <f>Settembre!X59</f>
        <v/>
      </c>
      <c r="F70" s="31">
        <f>IF(AND(ISNUMBER(D70),ISNUMBER(E70)),E70-D70,"")</f>
        <v/>
      </c>
      <c r="G70" s="4">
        <f>IF(AND(D70="",E70=""),"Sì",IF(AND(ISNUMBER(D70),ISNUMBER(E70)),IF(ABS(E70-D70)&lt;=1E-9*MAX(1,ABS(D70)),"Sì","No"),IF(D70=E70,"Sì","No")))</f>
        <v/>
      </c>
    </row>
    <row r="71">
      <c r="A71" s="4" t="inlineStr">
        <is>
          <t>Settembre</t>
        </is>
      </c>
      <c r="B71" s="4" t="inlineStr">
        <is>
          <t>B055 scatti_n atteso</t>
        </is>
      </c>
      <c r="D71" s="15" t="n">
        <v>3</v>
      </c>
      <c r="E71" s="32">
        <f>Settembre!Z59</f>
        <v/>
      </c>
      <c r="F71" s="31">
        <f>IF(AND(ISNUMBER(D71),ISNUMBER(E71)),E71-D71,"")</f>
        <v/>
      </c>
      <c r="G71" s="4">
        <f>IF(AND(D71="",E71=""),"Sì",IF(AND(ISNUMBER(D71),ISNUMBER(E71)),IF(ABS(E71-D71)&lt;=1E-9*MAX(1,ABS(D71)),"Sì","No"),IF(D71=E71,"Sì","No")))</f>
        <v/>
      </c>
    </row>
    <row r="72">
      <c r="A72" s="4" t="inlineStr">
        <is>
          <t>Settembre</t>
        </is>
      </c>
      <c r="B72" s="4" t="inlineStr">
        <is>
          <t>B055 scatti atteso</t>
        </is>
      </c>
      <c r="D72" s="29" t="n">
        <v>60.9</v>
      </c>
      <c r="E72" s="30">
        <f>Settembre!AA59</f>
        <v/>
      </c>
      <c r="F72" s="31">
        <f>IF(AND(ISNUMBER(D72),ISNUMBER(E72)),E72-D72,"")</f>
        <v/>
      </c>
      <c r="G72" s="4">
        <f>IF(AND(D72="",E72=""),"Sì",IF(AND(ISNUMBER(D72),ISNUMBER(E72)),IF(ABS(E72-D72)&lt;=1E-9*MAX(1,ABS(D72)),"Sì","No"),IF(D72=E72,"Sì","No")))</f>
        <v/>
      </c>
    </row>
    <row r="73">
      <c r="A73" s="4" t="inlineStr">
        <is>
          <t>Settembre</t>
        </is>
      </c>
      <c r="B73" s="4" t="inlineStr">
        <is>
          <t>B055 contributi_inps atteso</t>
        </is>
      </c>
      <c r="D73" s="29" t="n">
        <v>176.35</v>
      </c>
      <c r="E73" s="30">
        <f>Settembre!AB59</f>
        <v/>
      </c>
      <c r="F73" s="31">
        <f>IF(AND(ISNUMBER(D73),ISNUMBER(E73)),E73-D73,"")</f>
        <v/>
      </c>
      <c r="G73" s="4">
        <f>IF(AND(D73="",E73=""),"Sì",IF(AND(ISNUMBER(D73),ISNUMBER(E73)),IF(ABS(E73-D73)&lt;=1E-9*MAX(1,ABS(D73)),"Sì","No"),IF(D73=E73,"Sì","No")))</f>
        <v/>
      </c>
    </row>
    <row r="74">
      <c r="A74" s="4" t="inlineStr">
        <is>
          <t>Settembre</t>
        </is>
      </c>
      <c r="B74" s="4" t="inlineStr">
        <is>
          <t>B055 quota_tfr atteso</t>
        </is>
      </c>
      <c r="D74" s="29" t="n">
        <v>165.83</v>
      </c>
      <c r="E74" s="30">
        <f>Settembre!AC59</f>
        <v/>
      </c>
      <c r="F74" s="31">
        <f>IF(AND(ISNUMBER(D74),ISNUMBER(E74)),E74-D74,"")</f>
        <v/>
      </c>
      <c r="G74" s="4">
        <f>IF(AND(D74="",E74=""),"Sì",IF(AND(ISNUMBER(D74),ISNUMBER(E74)),IF(ABS(E74-D74)&lt;=1E-9*MAX(1,ABS(D74)),"Sì","No"),IF(D74=E74,"Sì","No")))</f>
        <v/>
      </c>
    </row>
    <row r="75">
      <c r="A75" s="4" t="inlineStr">
        <is>
          <t>Settembre</t>
        </is>
      </c>
      <c r="B75" s="4" t="inlineStr">
        <is>
          <t>B055 ferie_residuo atteso</t>
        </is>
      </c>
      <c r="D75" s="29" t="n">
        <v>13.4016</v>
      </c>
      <c r="E75" s="30">
        <f>Settembre!AE59</f>
        <v/>
      </c>
      <c r="F75" s="31">
        <f>IF(AND(ISNUMBER(D75),ISNUMBER(E75)),E75-D75,"")</f>
        <v/>
      </c>
      <c r="G75" s="4">
        <f>IF(AND(D75="",E75=""),"Sì",IF(AND(ISNUMBER(D75),ISNUMBER(E75)),IF(ABS(E75-D75)&lt;=1E-9*MAX(1,ABS(D75)),"Sì","No"),IF(D75=E75,"Sì","No")))</f>
        <v/>
      </c>
    </row>
    <row r="76">
      <c r="A76" s="4" t="inlineStr">
        <is>
          <t>Settembre</t>
        </is>
      </c>
      <c r="B76" s="4" t="inlineStr">
        <is>
          <t>B055 netto atteso</t>
        </is>
      </c>
      <c r="D76" s="29" t="n">
        <v>1458.85</v>
      </c>
      <c r="E76" s="30">
        <f>Settembre!AG59</f>
        <v/>
      </c>
      <c r="F76" s="31">
        <f>IF(AND(ISNUMBER(D76),ISNUMBER(E76)),E76-D76,"")</f>
        <v/>
      </c>
      <c r="G76" s="4">
        <f>IF(AND(D76="",E76=""),"Sì",IF(AND(ISNUMBER(D76),ISNUMBER(E76)),IF(ABS(E76-D76)&lt;=1E-9*MAX(1,ABS(D76)),"Sì","No"),IF(D76=E76,"Sì","No")))</f>
        <v/>
      </c>
    </row>
    <row r="77">
      <c r="A77" s="4" t="inlineStr">
        <is>
          <t>Settembre</t>
        </is>
      </c>
      <c r="B77" s="4" t="inlineStr">
        <is>
          <t>B061 tabellare atteso</t>
        </is>
      </c>
      <c r="D77" s="29" t="n">
        <v>1336.26</v>
      </c>
      <c r="E77" s="30">
        <f>Settembre!X65</f>
        <v/>
      </c>
      <c r="F77" s="31">
        <f>IF(AND(ISNUMBER(D77),ISNUMBER(E77)),E77-D77,"")</f>
        <v/>
      </c>
      <c r="G77" s="4">
        <f>IF(AND(D77="",E77=""),"Sì",IF(AND(ISNUMBER(D77),ISNUMBER(E77)),IF(ABS(E77-D77)&lt;=1E-9*MAX(1,ABS(D77)),"Sì","No"),IF(D77=E77,"Sì","No")))</f>
        <v/>
      </c>
    </row>
    <row r="78">
      <c r="A78" s="4" t="inlineStr">
        <is>
          <t>Settembre</t>
        </is>
      </c>
      <c r="B78" s="4" t="inlineStr">
        <is>
          <t>B061 scatti_n atteso</t>
        </is>
      </c>
      <c r="D78" s="15" t="n">
        <v>0</v>
      </c>
      <c r="E78" s="32">
        <f>Settembre!Z65</f>
        <v/>
      </c>
      <c r="F78" s="31">
        <f>IF(AND(ISNUMBER(D78),ISNUMBER(E78)),E78-D78,"")</f>
        <v/>
      </c>
      <c r="G78" s="4">
        <f>IF(AND(D78="",E78=""),"Sì",IF(AND(ISNUMBER(D78),ISNUMBER(E78)),IF(ABS(E78-D78)&lt;=1E-9*MAX(1,ABS(D78)),"Sì","No"),IF(D78=E78,"Sì","No")))</f>
        <v/>
      </c>
    </row>
    <row r="79">
      <c r="A79" s="4" t="inlineStr">
        <is>
          <t>Settembre</t>
        </is>
      </c>
      <c r="B79" s="4" t="inlineStr">
        <is>
          <t>B061 scatti atteso</t>
        </is>
      </c>
      <c r="D79" s="29" t="n">
        <v>0</v>
      </c>
      <c r="E79" s="30">
        <f>Settembre!AA65</f>
        <v/>
      </c>
      <c r="F79" s="31">
        <f>IF(AND(ISNUMBER(D79),ISNUMBER(E79)),E79-D79,"")</f>
        <v/>
      </c>
      <c r="G79" s="4">
        <f>IF(AND(D79="",E79=""),"Sì",IF(AND(ISNUMBER(D79),ISNUMBER(E79)),IF(ABS(E79-D79)&lt;=1E-9*MAX(1,ABS(D79)),"Sì","No"),IF(D79=E79,"Sì","No")))</f>
        <v/>
      </c>
    </row>
    <row r="80">
      <c r="A80" s="4" t="inlineStr">
        <is>
          <t>Settembre</t>
        </is>
      </c>
      <c r="B80" s="4" t="inlineStr">
        <is>
          <t>B061 contributi_inps atteso</t>
        </is>
      </c>
      <c r="D80" s="29" t="n">
        <v>136.59</v>
      </c>
      <c r="E80" s="30">
        <f>Settembre!AB65</f>
        <v/>
      </c>
      <c r="F80" s="31">
        <f>IF(AND(ISNUMBER(D80),ISNUMBER(E80)),E80-D80,"")</f>
        <v/>
      </c>
      <c r="G80" s="4">
        <f>IF(AND(D80="",E80=""),"Sì",IF(AND(ISNUMBER(D80),ISNUMBER(E80)),IF(ABS(E80-D80)&lt;=1E-9*MAX(1,ABS(D80)),"Sì","No"),IF(D80=E80,"Sì","No")))</f>
        <v/>
      </c>
    </row>
    <row r="81">
      <c r="A81" s="4" t="inlineStr">
        <is>
          <t>Settembre</t>
        </is>
      </c>
      <c r="B81" s="4" t="inlineStr">
        <is>
          <t>B061 quota_tfr atteso</t>
        </is>
      </c>
      <c r="D81" s="29" t="n">
        <v>128.44</v>
      </c>
      <c r="E81" s="30">
        <f>Settembre!AC65</f>
        <v/>
      </c>
      <c r="F81" s="31">
        <f>IF(AND(ISNUMBER(D81),ISNUMBER(E81)),E81-D81,"")</f>
        <v/>
      </c>
      <c r="G81" s="4">
        <f>IF(AND(D81="",E81=""),"Sì",IF(AND(ISNUMBER(D81),ISNUMBER(E81)),IF(ABS(E81-D81)&lt;=1E-9*MAX(1,ABS(D81)),"Sì","No"),IF(D81=E81,"Sì","No")))</f>
        <v/>
      </c>
    </row>
    <row r="82">
      <c r="A82" s="4" t="inlineStr">
        <is>
          <t>Settembre</t>
        </is>
      </c>
      <c r="B82" s="4" t="inlineStr">
        <is>
          <t>B061 ferie_residuo atteso</t>
        </is>
      </c>
      <c r="D82" s="29" t="n">
        <v>15.6374</v>
      </c>
      <c r="E82" s="30">
        <f>Settembre!AE65</f>
        <v/>
      </c>
      <c r="F82" s="31">
        <f>IF(AND(ISNUMBER(D82),ISNUMBER(E82)),E82-D82,"")</f>
        <v/>
      </c>
      <c r="G82" s="4">
        <f>IF(AND(D82="",E82=""),"Sì",IF(AND(ISNUMBER(D82),ISNUMBER(E82)),IF(ABS(E82-D82)&lt;=1E-9*MAX(1,ABS(D82)),"Sì","No"),IF(D82=E82,"Sì","No")))</f>
        <v/>
      </c>
    </row>
    <row r="83">
      <c r="A83" s="4" t="inlineStr">
        <is>
          <t>Settembre</t>
        </is>
      </c>
      <c r="B83" s="4" t="inlineStr">
        <is>
          <t>B061 netto atteso</t>
        </is>
      </c>
      <c r="D83" s="29" t="n">
        <v>1177.93</v>
      </c>
      <c r="E83" s="30">
        <f>Settembre!AG65</f>
        <v/>
      </c>
      <c r="F83" s="31">
        <f>IF(AND(ISNUMBER(D83),ISNUMBER(E83)),E83-D83,"")</f>
        <v/>
      </c>
      <c r="G83" s="4">
        <f>IF(AND(D83="",E83=""),"Sì",IF(AND(ISNUMBER(D83),ISNUMBER(E83)),IF(ABS(E83-D83)&lt;=1E-9*MAX(1,ABS(D83)),"Sì","No"),IF(D83=E83,"Sì","No")))</f>
        <v/>
      </c>
    </row>
    <row r="84">
      <c r="A84" s="4" t="inlineStr">
        <is>
          <t>Settembre</t>
        </is>
      </c>
      <c r="B84" s="4" t="inlineStr">
        <is>
          <t>B067 tabellare atteso</t>
        </is>
      </c>
      <c r="D84" s="29" t="n">
        <v>1336.26</v>
      </c>
      <c r="E84" s="30">
        <f>Settembre!X71</f>
        <v/>
      </c>
      <c r="F84" s="31">
        <f>IF(AND(ISNUMBER(D84),ISNUMBER(E84)),E84-D84,"")</f>
        <v/>
      </c>
      <c r="G84" s="4">
        <f>IF(AND(D84="",E84=""),"Sì",IF(AND(ISNUMBER(D84),ISNUMBER(E84)),IF(ABS(E84-D84)&lt;=1E-9*MAX(1,ABS(D84)),"Sì","No"),IF(D84=E84,"Sì","No")))</f>
        <v/>
      </c>
    </row>
    <row r="85">
      <c r="A85" s="4" t="inlineStr">
        <is>
          <t>Settembre</t>
        </is>
      </c>
      <c r="B85" s="4" t="inlineStr">
        <is>
          <t>B067 scatti_n atteso</t>
        </is>
      </c>
      <c r="D85" s="15" t="n">
        <v>0</v>
      </c>
      <c r="E85" s="32">
        <f>Settembre!Z71</f>
        <v/>
      </c>
      <c r="F85" s="31">
        <f>IF(AND(ISNUMBER(D85),ISNUMBER(E85)),E85-D85,"")</f>
        <v/>
      </c>
      <c r="G85" s="4">
        <f>IF(AND(D85="",E85=""),"Sì",IF(AND(ISNUMBER(D85),ISNUMBER(E85)),IF(ABS(E85-D85)&lt;=1E-9*MAX(1,ABS(D85)),"Sì","No"),IF(D85=E85,"Sì","No")))</f>
        <v/>
      </c>
    </row>
    <row r="86">
      <c r="A86" s="4" t="inlineStr">
        <is>
          <t>Settembre</t>
        </is>
      </c>
      <c r="B86" s="4" t="inlineStr">
        <is>
          <t>B067 scatti atteso</t>
        </is>
      </c>
      <c r="D86" s="29" t="n">
        <v>0</v>
      </c>
      <c r="E86" s="30">
        <f>Settembre!AA71</f>
        <v/>
      </c>
      <c r="F86" s="31">
        <f>IF(AND(ISNUMBER(D86),ISNUMBER(E86)),E86-D86,"")</f>
        <v/>
      </c>
      <c r="G86" s="4">
        <f>IF(AND(D86="",E86=""),"Sì",IF(AND(ISNUMBER(D86),ISNUMBER(E86)),IF(ABS(E86-D86)&lt;=1E-9*MAX(1,ABS(D86)),"Sì","No"),IF(D86=E86,"Sì","No")))</f>
        <v/>
      </c>
    </row>
    <row r="87">
      <c r="A87" s="4" t="inlineStr">
        <is>
          <t>Settembre</t>
        </is>
      </c>
      <c r="B87" s="4" t="inlineStr">
        <is>
          <t>B067 contributi_inps atteso</t>
        </is>
      </c>
      <c r="D87" s="29" t="n">
        <v>136.59</v>
      </c>
      <c r="E87" s="30">
        <f>Settembre!AB71</f>
        <v/>
      </c>
      <c r="F87" s="31">
        <f>IF(AND(ISNUMBER(D87),ISNUMBER(E87)),E87-D87,"")</f>
        <v/>
      </c>
      <c r="G87" s="4">
        <f>IF(AND(D87="",E87=""),"Sì",IF(AND(ISNUMBER(D87),ISNUMBER(E87)),IF(ABS(E87-D87)&lt;=1E-9*MAX(1,ABS(D87)),"Sì","No"),IF(D87=E87,"Sì","No")))</f>
        <v/>
      </c>
    </row>
    <row r="88">
      <c r="A88" s="4" t="inlineStr">
        <is>
          <t>Settembre</t>
        </is>
      </c>
      <c r="B88" s="4" t="inlineStr">
        <is>
          <t>B067 quota_tfr atteso</t>
        </is>
      </c>
      <c r="D88" s="29" t="n">
        <v>128.44</v>
      </c>
      <c r="E88" s="30">
        <f>Settembre!AC71</f>
        <v/>
      </c>
      <c r="F88" s="31">
        <f>IF(AND(ISNUMBER(D88),ISNUMBER(E88)),E88-D88,"")</f>
        <v/>
      </c>
      <c r="G88" s="4">
        <f>IF(AND(D88="",E88=""),"Sì",IF(AND(ISNUMBER(D88),ISNUMBER(E88)),IF(ABS(E88-D88)&lt;=1E-9*MAX(1,ABS(D88)),"Sì","No"),IF(D88=E88,"Sì","No")))</f>
        <v/>
      </c>
    </row>
    <row r="89">
      <c r="A89" s="4" t="inlineStr">
        <is>
          <t>Settembre</t>
        </is>
      </c>
      <c r="B89" s="4" t="inlineStr">
        <is>
          <t>B067 ferie_residuo atteso</t>
        </is>
      </c>
      <c r="D89" s="29" t="n">
        <v>6.462</v>
      </c>
      <c r="E89" s="30">
        <f>Settembre!AE71</f>
        <v/>
      </c>
      <c r="F89" s="31">
        <f>IF(AND(ISNUMBER(D89),ISNUMBER(E89)),E89-D89,"")</f>
        <v/>
      </c>
      <c r="G89" s="4">
        <f>IF(AND(D89="",E89=""),"Sì",IF(AND(ISNUMBER(D89),ISNUMBER(E89)),IF(ABS(E89-D89)&lt;=1E-9*MAX(1,ABS(D89)),"Sì","No"),IF(D89=E89,"Sì","No")))</f>
        <v/>
      </c>
    </row>
    <row r="90">
      <c r="A90" s="4" t="inlineStr">
        <is>
          <t>Settembre</t>
        </is>
      </c>
      <c r="B90" s="4" t="inlineStr">
        <is>
          <t>B067 netto atteso</t>
        </is>
      </c>
      <c r="D90" s="29" t="n">
        <v>1177.93</v>
      </c>
      <c r="E90" s="30">
        <f>Settembre!AG71</f>
        <v/>
      </c>
      <c r="F90" s="31">
        <f>IF(AND(ISNUMBER(D90),ISNUMBER(E90)),E90-D90,"")</f>
        <v/>
      </c>
      <c r="G90" s="4">
        <f>IF(AND(D90="",E90=""),"Sì",IF(AND(ISNUMBER(D90),ISNUMBER(E90)),IF(ABS(E90-D90)&lt;=1E-9*MAX(1,ABS(D90)),"Sì","No"),IF(D90=E90,"Sì","No")))</f>
        <v/>
      </c>
    </row>
    <row r="91">
      <c r="A91" s="4" t="inlineStr">
        <is>
          <t>Settembre</t>
        </is>
      </c>
      <c r="B91" s="4" t="inlineStr">
        <is>
          <t>B073 tabellare atteso</t>
        </is>
      </c>
      <c r="D91" s="29" t="n">
        <v>1781.68</v>
      </c>
      <c r="E91" s="30">
        <f>Settembre!X77</f>
        <v/>
      </c>
      <c r="F91" s="31">
        <f>IF(AND(ISNUMBER(D91),ISNUMBER(E91)),E91-D91,"")</f>
        <v/>
      </c>
      <c r="G91" s="4">
        <f>IF(AND(D91="",E91=""),"Sì",IF(AND(ISNUMBER(D91),ISNUMBER(E91)),IF(ABS(E91-D91)&lt;=1E-9*MAX(1,ABS(D91)),"Sì","No"),IF(D91=E91,"Sì","No")))</f>
        <v/>
      </c>
    </row>
    <row r="92">
      <c r="A92" s="4" t="inlineStr">
        <is>
          <t>Settembre</t>
        </is>
      </c>
      <c r="B92" s="4" t="inlineStr">
        <is>
          <t>B073 scatti_n atteso</t>
        </is>
      </c>
      <c r="D92" s="15" t="n">
        <v>1</v>
      </c>
      <c r="E92" s="32">
        <f>Settembre!Z77</f>
        <v/>
      </c>
      <c r="F92" s="31">
        <f>IF(AND(ISNUMBER(D92),ISNUMBER(E92)),E92-D92,"")</f>
        <v/>
      </c>
      <c r="G92" s="4">
        <f>IF(AND(D92="",E92=""),"Sì",IF(AND(ISNUMBER(D92),ISNUMBER(E92)),IF(ABS(E92-D92)&lt;=1E-9*MAX(1,ABS(D92)),"Sì","No"),IF(D92=E92,"Sì","No")))</f>
        <v/>
      </c>
    </row>
    <row r="93">
      <c r="A93" s="4" t="inlineStr">
        <is>
          <t>Settembre</t>
        </is>
      </c>
      <c r="B93" s="4" t="inlineStr">
        <is>
          <t>B073 scatti atteso</t>
        </is>
      </c>
      <c r="D93" s="29" t="n">
        <v>20.66</v>
      </c>
      <c r="E93" s="30">
        <f>Settembre!AA77</f>
        <v/>
      </c>
      <c r="F93" s="31">
        <f>IF(AND(ISNUMBER(D93),ISNUMBER(E93)),E93-D93,"")</f>
        <v/>
      </c>
      <c r="G93" s="4">
        <f>IF(AND(D93="",E93=""),"Sì",IF(AND(ISNUMBER(D93),ISNUMBER(E93)),IF(ABS(E93-D93)&lt;=1E-9*MAX(1,ABS(D93)),"Sì","No"),IF(D93=E93,"Sì","No")))</f>
        <v/>
      </c>
    </row>
    <row r="94">
      <c r="A94" s="4" t="inlineStr">
        <is>
          <t>Settembre</t>
        </is>
      </c>
      <c r="B94" s="4" t="inlineStr">
        <is>
          <t>B073 contributi_inps atteso</t>
        </is>
      </c>
      <c r="D94" s="29" t="n">
        <v>193.21</v>
      </c>
      <c r="E94" s="30">
        <f>Settembre!AB77</f>
        <v/>
      </c>
      <c r="F94" s="31">
        <f>IF(AND(ISNUMBER(D94),ISNUMBER(E94)),E94-D94,"")</f>
        <v/>
      </c>
      <c r="G94" s="4">
        <f>IF(AND(D94="",E94=""),"Sì",IF(AND(ISNUMBER(D94),ISNUMBER(E94)),IF(ABS(E94-D94)&lt;=1E-9*MAX(1,ABS(D94)),"Sì","No"),IF(D94=E94,"Sì","No")))</f>
        <v/>
      </c>
    </row>
    <row r="95">
      <c r="A95" s="4" t="inlineStr">
        <is>
          <t>Settembre</t>
        </is>
      </c>
      <c r="B95" s="4" t="inlineStr">
        <is>
          <t>B073 quota_tfr atteso</t>
        </is>
      </c>
      <c r="D95" s="29" t="n">
        <v>181.68</v>
      </c>
      <c r="E95" s="30">
        <f>Settembre!AC77</f>
        <v/>
      </c>
      <c r="F95" s="31">
        <f>IF(AND(ISNUMBER(D95),ISNUMBER(E95)),E95-D95,"")</f>
        <v/>
      </c>
      <c r="G95" s="4">
        <f>IF(AND(D95="",E95=""),"Sì",IF(AND(ISNUMBER(D95),ISNUMBER(E95)),IF(ABS(E95-D95)&lt;=1E-9*MAX(1,ABS(D95)),"Sì","No"),IF(D95=E95,"Sì","No")))</f>
        <v/>
      </c>
    </row>
    <row r="96">
      <c r="A96" s="4" t="inlineStr">
        <is>
          <t>Settembre</t>
        </is>
      </c>
      <c r="B96" s="4" t="inlineStr">
        <is>
          <t>B073 ferie_residuo atteso</t>
        </is>
      </c>
      <c r="D96" s="29" t="n">
        <v>21.7927</v>
      </c>
      <c r="E96" s="30">
        <f>Settembre!AE77</f>
        <v/>
      </c>
      <c r="F96" s="31">
        <f>IF(AND(ISNUMBER(D96),ISNUMBER(E96)),E96-D96,"")</f>
        <v/>
      </c>
      <c r="G96" s="4">
        <f>IF(AND(D96="",E96=""),"Sì",IF(AND(ISNUMBER(D96),ISNUMBER(E96)),IF(ABS(E96-D96)&lt;=1E-9*MAX(1,ABS(D96)),"Sì","No"),IF(D96=E96,"Sì","No")))</f>
        <v/>
      </c>
    </row>
    <row r="97">
      <c r="A97" s="4" t="inlineStr">
        <is>
          <t>Settembre</t>
        </is>
      </c>
      <c r="B97" s="4" t="inlineStr">
        <is>
          <t>B073 netto atteso</t>
        </is>
      </c>
      <c r="D97" s="29" t="n">
        <v>1577.94</v>
      </c>
      <c r="E97" s="30">
        <f>Settembre!AG77</f>
        <v/>
      </c>
      <c r="F97" s="31">
        <f>IF(AND(ISNUMBER(D97),ISNUMBER(E97)),E97-D97,"")</f>
        <v/>
      </c>
      <c r="G97" s="4">
        <f>IF(AND(D97="",E97=""),"Sì",IF(AND(ISNUMBER(D97),ISNUMBER(E97)),IF(ABS(E97-D97)&lt;=1E-9*MAX(1,ABS(D97)),"Sì","No"),IF(D97=E97,"Sì","No")))</f>
        <v/>
      </c>
    </row>
    <row r="98">
      <c r="A98" s="4" t="inlineStr">
        <is>
          <t>Settembre</t>
        </is>
      </c>
      <c r="B98" s="4" t="inlineStr">
        <is>
          <t>B079 tabellare atteso</t>
        </is>
      </c>
      <c r="D98" s="29" t="n">
        <v>1981.84</v>
      </c>
      <c r="E98" s="30">
        <f>Settembre!X83</f>
        <v/>
      </c>
      <c r="F98" s="31">
        <f>IF(AND(ISNUMBER(D98),ISNUMBER(E98)),E98-D98,"")</f>
        <v/>
      </c>
      <c r="G98" s="4">
        <f>IF(AND(D98="",E98=""),"Sì",IF(AND(ISNUMBER(D98),ISNUMBER(E98)),IF(ABS(E98-D98)&lt;=1E-9*MAX(1,ABS(D98)),"Sì","No"),IF(D98=E98,"Sì","No")))</f>
        <v/>
      </c>
    </row>
    <row r="99">
      <c r="A99" s="4" t="inlineStr">
        <is>
          <t>Settembre</t>
        </is>
      </c>
      <c r="B99" s="4" t="inlineStr">
        <is>
          <t>B079 scatti_n atteso</t>
        </is>
      </c>
      <c r="D99" s="15" t="n">
        <v>1</v>
      </c>
      <c r="E99" s="32">
        <f>Settembre!Z83</f>
        <v/>
      </c>
      <c r="F99" s="31">
        <f>IF(AND(ISNUMBER(D99),ISNUMBER(E99)),E99-D99,"")</f>
        <v/>
      </c>
      <c r="G99" s="4">
        <f>IF(AND(D99="",E99=""),"Sì",IF(AND(ISNUMBER(D99),ISNUMBER(E99)),IF(ABS(E99-D99)&lt;=1E-9*MAX(1,ABS(D99)),"Sì","No"),IF(D99=E99,"Sì","No")))</f>
        <v/>
      </c>
    </row>
    <row r="100">
      <c r="A100" s="4" t="inlineStr">
        <is>
          <t>Settembre</t>
        </is>
      </c>
      <c r="B100" s="4" t="inlineStr">
        <is>
          <t>B079 scatti atteso</t>
        </is>
      </c>
      <c r="D100" s="29" t="n">
        <v>21.95</v>
      </c>
      <c r="E100" s="30">
        <f>Settembre!AA83</f>
        <v/>
      </c>
      <c r="F100" s="31">
        <f>IF(AND(ISNUMBER(D100),ISNUMBER(E100)),E100-D100,"")</f>
        <v/>
      </c>
      <c r="G100" s="4">
        <f>IF(AND(D100="",E100=""),"Sì",IF(AND(ISNUMBER(D100),ISNUMBER(E100)),IF(ABS(E100-D100)&lt;=1E-9*MAX(1,ABS(D100)),"Sì","No"),IF(D100=E100,"Sì","No")))</f>
        <v/>
      </c>
    </row>
    <row r="101">
      <c r="A101" s="4" t="inlineStr">
        <is>
          <t>Settembre</t>
        </is>
      </c>
      <c r="B101" s="4" t="inlineStr">
        <is>
          <t>B079 contributi_inps atteso</t>
        </is>
      </c>
      <c r="D101" s="29" t="n">
        <v>188.74</v>
      </c>
      <c r="E101" s="30">
        <f>Settembre!AB83</f>
        <v/>
      </c>
      <c r="F101" s="31">
        <f>IF(AND(ISNUMBER(D101),ISNUMBER(E101)),E101-D101,"")</f>
        <v/>
      </c>
      <c r="G101" s="4">
        <f>IF(AND(D101="",E101=""),"Sì",IF(AND(ISNUMBER(D101),ISNUMBER(E101)),IF(ABS(E101-D101)&lt;=1E-9*MAX(1,ABS(D101)),"Sì","No"),IF(D101=E101,"Sì","No")))</f>
        <v/>
      </c>
    </row>
    <row r="102">
      <c r="A102" s="4" t="inlineStr">
        <is>
          <t>Settembre</t>
        </is>
      </c>
      <c r="B102" s="4" t="inlineStr">
        <is>
          <t>B079 quota_tfr atteso</t>
        </is>
      </c>
      <c r="D102" s="29" t="n">
        <v>177.49</v>
      </c>
      <c r="E102" s="30">
        <f>Settembre!AC83</f>
        <v/>
      </c>
      <c r="F102" s="31">
        <f>IF(AND(ISNUMBER(D102),ISNUMBER(E102)),E102-D102,"")</f>
        <v/>
      </c>
      <c r="G102" s="4">
        <f>IF(AND(D102="",E102=""),"Sì",IF(AND(ISNUMBER(D102),ISNUMBER(E102)),IF(ABS(E102-D102)&lt;=1E-9*MAX(1,ABS(D102)),"Sì","No"),IF(D102=E102,"Sì","No")))</f>
        <v/>
      </c>
    </row>
    <row r="103">
      <c r="A103" s="4" t="inlineStr">
        <is>
          <t>Settembre</t>
        </is>
      </c>
      <c r="B103" s="4" t="inlineStr">
        <is>
          <t>B079 ferie_residuo atteso</t>
        </is>
      </c>
      <c r="D103" s="29" t="n">
        <v>13.0325</v>
      </c>
      <c r="E103" s="30">
        <f>Settembre!AE83</f>
        <v/>
      </c>
      <c r="F103" s="31">
        <f>IF(AND(ISNUMBER(D103),ISNUMBER(E103)),E103-D103,"")</f>
        <v/>
      </c>
      <c r="G103" s="4">
        <f>IF(AND(D103="",E103=""),"Sì",IF(AND(ISNUMBER(D103),ISNUMBER(E103)),IF(ABS(E103-D103)&lt;=1E-9*MAX(1,ABS(D103)),"Sì","No"),IF(D103=E103,"Sì","No")))</f>
        <v/>
      </c>
    </row>
    <row r="104">
      <c r="A104" s="4" t="inlineStr">
        <is>
          <t>Settembre</t>
        </is>
      </c>
      <c r="B104" s="4" t="inlineStr">
        <is>
          <t>B079 netto atteso</t>
        </is>
      </c>
      <c r="D104" s="29" t="n">
        <v>1546.42</v>
      </c>
      <c r="E104" s="30">
        <f>Settembre!AG83</f>
        <v/>
      </c>
      <c r="F104" s="31">
        <f>IF(AND(ISNUMBER(D104),ISNUMBER(E104)),E104-D104,"")</f>
        <v/>
      </c>
      <c r="G104" s="4">
        <f>IF(AND(D104="",E104=""),"Sì",IF(AND(ISNUMBER(D104),ISNUMBER(E104)),IF(ABS(E104-D104)&lt;=1E-9*MAX(1,ABS(D104)),"Sì","No"),IF(D104=E104,"Sì","No")))</f>
        <v/>
      </c>
    </row>
    <row r="105">
      <c r="A105" s="4" t="inlineStr">
        <is>
          <t>Settembre</t>
        </is>
      </c>
      <c r="B105" s="4" t="inlineStr">
        <is>
          <t>B085 tabellare atteso</t>
        </is>
      </c>
      <c r="D105" s="29" t="n">
        <v>890.84</v>
      </c>
      <c r="E105" s="30">
        <f>Settembre!X89</f>
        <v/>
      </c>
      <c r="F105" s="31">
        <f>IF(AND(ISNUMBER(D105),ISNUMBER(E105)),E105-D105,"")</f>
        <v/>
      </c>
      <c r="G105" s="4">
        <f>IF(AND(D105="",E105=""),"Sì",IF(AND(ISNUMBER(D105),ISNUMBER(E105)),IF(ABS(E105-D105)&lt;=1E-9*MAX(1,ABS(D105)),"Sì","No"),IF(D105=E105,"Sì","No")))</f>
        <v/>
      </c>
    </row>
    <row r="106">
      <c r="A106" s="4" t="inlineStr">
        <is>
          <t>Settembre</t>
        </is>
      </c>
      <c r="B106" s="4" t="inlineStr">
        <is>
          <t>B085 scatti_n atteso</t>
        </is>
      </c>
      <c r="D106" s="15" t="n">
        <v>2</v>
      </c>
      <c r="E106" s="32">
        <f>Settembre!Z89</f>
        <v/>
      </c>
      <c r="F106" s="31">
        <f>IF(AND(ISNUMBER(D106),ISNUMBER(E106)),E106-D106,"")</f>
        <v/>
      </c>
      <c r="G106" s="4">
        <f>IF(AND(D106="",E106=""),"Sì",IF(AND(ISNUMBER(D106),ISNUMBER(E106)),IF(ABS(E106-D106)&lt;=1E-9*MAX(1,ABS(D106)),"Sì","No"),IF(D106=E106,"Sì","No")))</f>
        <v/>
      </c>
    </row>
    <row r="107">
      <c r="A107" s="4" t="inlineStr">
        <is>
          <t>Settembre</t>
        </is>
      </c>
      <c r="B107" s="4" t="inlineStr">
        <is>
          <t>B085 scatti atteso</t>
        </is>
      </c>
      <c r="D107" s="29" t="n">
        <v>20.66</v>
      </c>
      <c r="E107" s="30">
        <f>Settembre!AA89</f>
        <v/>
      </c>
      <c r="F107" s="31">
        <f>IF(AND(ISNUMBER(D107),ISNUMBER(E107)),E107-D107,"")</f>
        <v/>
      </c>
      <c r="G107" s="4">
        <f>IF(AND(D107="",E107=""),"Sì",IF(AND(ISNUMBER(D107),ISNUMBER(E107)),IF(ABS(E107-D107)&lt;=1E-9*MAX(1,ABS(D107)),"Sì","No"),IF(D107=E107,"Sì","No")))</f>
        <v/>
      </c>
    </row>
    <row r="108">
      <c r="A108" s="4" t="inlineStr">
        <is>
          <t>Settembre</t>
        </is>
      </c>
      <c r="B108" s="4" t="inlineStr">
        <is>
          <t>B085 contributi_inps atteso</t>
        </is>
      </c>
      <c r="D108" s="29" t="n">
        <v>87.44</v>
      </c>
      <c r="E108" s="30">
        <f>Settembre!AB89</f>
        <v/>
      </c>
      <c r="F108" s="31">
        <f>IF(AND(ISNUMBER(D108),ISNUMBER(E108)),E108-D108,"")</f>
        <v/>
      </c>
      <c r="G108" s="4">
        <f>IF(AND(D108="",E108=""),"Sì",IF(AND(ISNUMBER(D108),ISNUMBER(E108)),IF(ABS(E108-D108)&lt;=1E-9*MAX(1,ABS(D108)),"Sì","No"),IF(D108=E108,"Sì","No")))</f>
        <v/>
      </c>
    </row>
    <row r="109">
      <c r="A109" s="4" t="inlineStr">
        <is>
          <t>Settembre</t>
        </is>
      </c>
      <c r="B109" s="4" t="inlineStr">
        <is>
          <t>B085 quota_tfr atteso</t>
        </is>
      </c>
      <c r="D109" s="29" t="n">
        <v>82.23</v>
      </c>
      <c r="E109" s="30">
        <f>Settembre!AC89</f>
        <v/>
      </c>
      <c r="F109" s="31">
        <f>IF(AND(ISNUMBER(D109),ISNUMBER(E109)),E109-D109,"")</f>
        <v/>
      </c>
      <c r="G109" s="4">
        <f>IF(AND(D109="",E109=""),"Sì",IF(AND(ISNUMBER(D109),ISNUMBER(E109)),IF(ABS(E109-D109)&lt;=1E-9*MAX(1,ABS(D109)),"Sì","No"),IF(D109=E109,"Sì","No")))</f>
        <v/>
      </c>
    </row>
    <row r="110">
      <c r="A110" s="4" t="inlineStr">
        <is>
          <t>Settembre</t>
        </is>
      </c>
      <c r="B110" s="4" t="inlineStr">
        <is>
          <t>B085 ferie_residuo atteso</t>
        </is>
      </c>
      <c r="D110" s="29" t="n">
        <v>12.8227</v>
      </c>
      <c r="E110" s="30">
        <f>Settembre!AE89</f>
        <v/>
      </c>
      <c r="F110" s="31">
        <f>IF(AND(ISNUMBER(D110),ISNUMBER(E110)),E110-D110,"")</f>
        <v/>
      </c>
      <c r="G110" s="4">
        <f>IF(AND(D110="",E110=""),"Sì",IF(AND(ISNUMBER(D110),ISNUMBER(E110)),IF(ABS(E110-D110)&lt;=1E-9*MAX(1,ABS(D110)),"Sì","No"),IF(D110=E110,"Sì","No")))</f>
        <v/>
      </c>
    </row>
    <row r="111">
      <c r="A111" s="4" t="inlineStr">
        <is>
          <t>Settembre</t>
        </is>
      </c>
      <c r="B111" s="4" t="inlineStr">
        <is>
          <t>B085 netto atteso</t>
        </is>
      </c>
      <c r="D111" s="29" t="n">
        <v>815.28</v>
      </c>
      <c r="E111" s="30">
        <f>Settembre!AG89</f>
        <v/>
      </c>
      <c r="F111" s="31">
        <f>IF(AND(ISNUMBER(D111),ISNUMBER(E111)),E111-D111,"")</f>
        <v/>
      </c>
      <c r="G111" s="4">
        <f>IF(AND(D111="",E111=""),"Sì",IF(AND(ISNUMBER(D111),ISNUMBER(E111)),IF(ABS(E111-D111)&lt;=1E-9*MAX(1,ABS(D111)),"Sì","No"),IF(D111=E111,"Sì","No")))</f>
        <v/>
      </c>
    </row>
    <row r="112">
      <c r="A112" s="4" t="inlineStr">
        <is>
          <t>Settembre</t>
        </is>
      </c>
      <c r="B112" s="4" t="inlineStr">
        <is>
          <t>B091 tabellare atteso</t>
        </is>
      </c>
      <c r="D112" s="29" t="n">
        <v>1658.01</v>
      </c>
      <c r="E112" s="30">
        <f>Settembre!X95</f>
        <v/>
      </c>
      <c r="F112" s="31">
        <f>IF(AND(ISNUMBER(D112),ISNUMBER(E112)),E112-D112,"")</f>
        <v/>
      </c>
      <c r="G112" s="4">
        <f>IF(AND(D112="",E112=""),"Sì",IF(AND(ISNUMBER(D112),ISNUMBER(E112)),IF(ABS(E112-D112)&lt;=1E-9*MAX(1,ABS(D112)),"Sì","No"),IF(D112=E112,"Sì","No")))</f>
        <v/>
      </c>
    </row>
    <row r="113">
      <c r="A113" s="4" t="inlineStr">
        <is>
          <t>Settembre</t>
        </is>
      </c>
      <c r="B113" s="4" t="inlineStr">
        <is>
          <t>B091 scatti_n atteso</t>
        </is>
      </c>
      <c r="D113" s="15" t="n">
        <v>1</v>
      </c>
      <c r="E113" s="32">
        <f>Settembre!Z95</f>
        <v/>
      </c>
      <c r="F113" s="31">
        <f>IF(AND(ISNUMBER(D113),ISNUMBER(E113)),E113-D113,"")</f>
        <v/>
      </c>
      <c r="G113" s="4">
        <f>IF(AND(D113="",E113=""),"Sì",IF(AND(ISNUMBER(D113),ISNUMBER(E113)),IF(ABS(E113-D113)&lt;=1E-9*MAX(1,ABS(D113)),"Sì","No"),IF(D113=E113,"Sì","No")))</f>
        <v/>
      </c>
    </row>
    <row r="114">
      <c r="A114" s="4" t="inlineStr">
        <is>
          <t>Settembre</t>
        </is>
      </c>
      <c r="B114" s="4" t="inlineStr">
        <is>
          <t>B091 scatti atteso</t>
        </is>
      </c>
      <c r="D114" s="29" t="n">
        <v>20.3</v>
      </c>
      <c r="E114" s="30">
        <f>Settembre!AA95</f>
        <v/>
      </c>
      <c r="F114" s="31">
        <f>IF(AND(ISNUMBER(D114),ISNUMBER(E114)),E114-D114,"")</f>
        <v/>
      </c>
      <c r="G114" s="4">
        <f>IF(AND(D114="",E114=""),"Sì",IF(AND(ISNUMBER(D114),ISNUMBER(E114)),IF(ABS(E114-D114)&lt;=1E-9*MAX(1,ABS(D114)),"Sì","No"),IF(D114=E114,"Sì","No")))</f>
        <v/>
      </c>
    </row>
    <row r="115">
      <c r="A115" s="4" t="inlineStr">
        <is>
          <t>Settembre</t>
        </is>
      </c>
      <c r="B115" s="4" t="inlineStr">
        <is>
          <t>B091 contributi_inps atteso</t>
        </is>
      </c>
      <c r="D115" s="29" t="n">
        <v>158.83</v>
      </c>
      <c r="E115" s="30">
        <f>Settembre!AB95</f>
        <v/>
      </c>
      <c r="F115" s="31">
        <f>IF(AND(ISNUMBER(D115),ISNUMBER(E115)),E115-D115,"")</f>
        <v/>
      </c>
      <c r="G115" s="4">
        <f>IF(AND(D115="",E115=""),"Sì",IF(AND(ISNUMBER(D115),ISNUMBER(E115)),IF(ABS(E115-D115)&lt;=1E-9*MAX(1,ABS(D115)),"Sì","No"),IF(D115=E115,"Sì","No")))</f>
        <v/>
      </c>
    </row>
    <row r="116">
      <c r="A116" s="4" t="inlineStr">
        <is>
          <t>Settembre</t>
        </is>
      </c>
      <c r="B116" s="4" t="inlineStr">
        <is>
          <t>B091 quota_tfr atteso</t>
        </is>
      </c>
      <c r="D116" s="29" t="n">
        <v>149.36</v>
      </c>
      <c r="E116" s="30">
        <f>Settembre!AC95</f>
        <v/>
      </c>
      <c r="F116" s="31">
        <f>IF(AND(ISNUMBER(D116),ISNUMBER(E116)),E116-D116,"")</f>
        <v/>
      </c>
      <c r="G116" s="4">
        <f>IF(AND(D116="",E116=""),"Sì",IF(AND(ISNUMBER(D116),ISNUMBER(E116)),IF(ABS(E116-D116)&lt;=1E-9*MAX(1,ABS(D116)),"Sì","No"),IF(D116=E116,"Sì","No")))</f>
        <v/>
      </c>
    </row>
    <row r="117">
      <c r="A117" s="4" t="inlineStr">
        <is>
          <t>Settembre</t>
        </is>
      </c>
      <c r="B117" s="4" t="inlineStr">
        <is>
          <t>B091 ferie_residuo atteso</t>
        </is>
      </c>
      <c r="D117" s="29" t="n">
        <v>15.6744</v>
      </c>
      <c r="E117" s="30">
        <f>Settembre!AE95</f>
        <v/>
      </c>
      <c r="F117" s="31">
        <f>IF(AND(ISNUMBER(D117),ISNUMBER(E117)),E117-D117,"")</f>
        <v/>
      </c>
      <c r="G117" s="4">
        <f>IF(AND(D117="",E117=""),"Sì",IF(AND(ISNUMBER(D117),ISNUMBER(E117)),IF(ABS(E117-D117)&lt;=1E-9*MAX(1,ABS(D117)),"Sì","No"),IF(D117=E117,"Sì","No")))</f>
        <v/>
      </c>
    </row>
    <row r="118">
      <c r="A118" s="4" t="inlineStr">
        <is>
          <t>Settembre</t>
        </is>
      </c>
      <c r="B118" s="4" t="inlineStr">
        <is>
          <t>B091 netto atteso</t>
        </is>
      </c>
      <c r="D118" s="29" t="n">
        <v>1335.1</v>
      </c>
      <c r="E118" s="30">
        <f>Settembre!AG95</f>
        <v/>
      </c>
      <c r="F118" s="31">
        <f>IF(AND(ISNUMBER(D118),ISNUMBER(E118)),E118-D118,"")</f>
        <v/>
      </c>
      <c r="G118" s="4">
        <f>IF(AND(D118="",E118=""),"Sì",IF(AND(ISNUMBER(D118),ISNUMBER(E118)),IF(ABS(E118-D118)&lt;=1E-9*MAX(1,ABS(D118)),"Sì","No"),IF(D118=E118,"Sì","No")))</f>
        <v/>
      </c>
    </row>
    <row r="119">
      <c r="A119" s="4" t="inlineStr">
        <is>
          <t>Settembre</t>
        </is>
      </c>
      <c r="B119" s="4" t="inlineStr">
        <is>
          <t>C097 tabellare atteso</t>
        </is>
      </c>
      <c r="D119" s="29" t="n">
        <v>1539.7</v>
      </c>
      <c r="E119" s="30">
        <f>Settembre!X101</f>
        <v/>
      </c>
      <c r="F119" s="31">
        <f>IF(AND(ISNUMBER(D119),ISNUMBER(E119)),E119-D119,"")</f>
        <v/>
      </c>
      <c r="G119" s="4">
        <f>IF(AND(D119="",E119=""),"Sì",IF(AND(ISNUMBER(D119),ISNUMBER(E119)),IF(ABS(E119-D119)&lt;=1E-9*MAX(1,ABS(D119)),"Sì","No"),IF(D119=E119,"Sì","No")))</f>
        <v/>
      </c>
    </row>
    <row r="120">
      <c r="A120" s="4" t="inlineStr">
        <is>
          <t>Settembre</t>
        </is>
      </c>
      <c r="B120" s="4" t="inlineStr">
        <is>
          <t>C097 scatti_n atteso</t>
        </is>
      </c>
      <c r="D120" s="15" t="n">
        <v>10</v>
      </c>
      <c r="E120" s="32">
        <f>Settembre!Z101</f>
        <v/>
      </c>
      <c r="F120" s="31">
        <f>IF(AND(ISNUMBER(D120),ISNUMBER(E120)),E120-D120,"")</f>
        <v/>
      </c>
      <c r="G120" s="4">
        <f>IF(AND(D120="",E120=""),"Sì",IF(AND(ISNUMBER(D120),ISNUMBER(E120)),IF(ABS(E120-D120)&lt;=1E-9*MAX(1,ABS(D120)),"Sì","No"),IF(D120=E120,"Sì","No")))</f>
        <v/>
      </c>
    </row>
    <row r="121">
      <c r="A121" s="4" t="inlineStr">
        <is>
          <t>Settembre</t>
        </is>
      </c>
      <c r="B121" s="4" t="inlineStr">
        <is>
          <t>C097 scatti atteso</t>
        </is>
      </c>
      <c r="D121" s="29" t="n">
        <v>197.3</v>
      </c>
      <c r="E121" s="30">
        <f>Settembre!AA101</f>
        <v/>
      </c>
      <c r="F121" s="31">
        <f>IF(AND(ISNUMBER(D121),ISNUMBER(E121)),E121-D121,"")</f>
        <v/>
      </c>
      <c r="G121" s="4">
        <f>IF(AND(D121="",E121=""),"Sì",IF(AND(ISNUMBER(D121),ISNUMBER(E121)),IF(ABS(E121-D121)&lt;=1E-9*MAX(1,ABS(D121)),"Sì","No"),IF(D121=E121,"Sì","No")))</f>
        <v/>
      </c>
    </row>
    <row r="122">
      <c r="A122" s="4" t="inlineStr">
        <is>
          <t>Settembre</t>
        </is>
      </c>
      <c r="B122" s="4" t="inlineStr">
        <is>
          <t>C097 contributi_inps atteso</t>
        </is>
      </c>
      <c r="D122" s="29" t="n">
        <v>159.63</v>
      </c>
      <c r="E122" s="30">
        <f>Settembre!AB101</f>
        <v/>
      </c>
      <c r="F122" s="31">
        <f>IF(AND(ISNUMBER(D122),ISNUMBER(E122)),E122-D122,"")</f>
        <v/>
      </c>
      <c r="G122" s="4">
        <f>IF(AND(D122="",E122=""),"Sì",IF(AND(ISNUMBER(D122),ISNUMBER(E122)),IF(ABS(E122-D122)&lt;=1E-9*MAX(1,ABS(D122)),"Sì","No"),IF(D122=E122,"Sì","No")))</f>
        <v/>
      </c>
    </row>
    <row r="123">
      <c r="A123" s="4" t="inlineStr">
        <is>
          <t>Settembre</t>
        </is>
      </c>
      <c r="B123" s="4" t="inlineStr">
        <is>
          <t>C097 quota_tfr atteso</t>
        </is>
      </c>
      <c r="D123" s="29" t="n">
        <v>150.11</v>
      </c>
      <c r="E123" s="30">
        <f>Settembre!AC101</f>
        <v/>
      </c>
      <c r="F123" s="31">
        <f>IF(AND(ISNUMBER(D123),ISNUMBER(E123)),E123-D123,"")</f>
        <v/>
      </c>
      <c r="G123" s="4">
        <f>IF(AND(D123="",E123=""),"Sì",IF(AND(ISNUMBER(D123),ISNUMBER(E123)),IF(ABS(E123-D123)&lt;=1E-9*MAX(1,ABS(D123)),"Sì","No"),IF(D123=E123,"Sì","No")))</f>
        <v/>
      </c>
    </row>
    <row r="124">
      <c r="A124" s="4" t="inlineStr">
        <is>
          <t>Settembre</t>
        </is>
      </c>
      <c r="B124" s="4" t="inlineStr">
        <is>
          <t>C097 ferie_residuo atteso</t>
        </is>
      </c>
      <c r="D124" s="29" t="n">
        <v>18.5937</v>
      </c>
      <c r="E124" s="30">
        <f>Settembre!AE101</f>
        <v/>
      </c>
      <c r="F124" s="31">
        <f>IF(AND(ISNUMBER(D124),ISNUMBER(E124)),E124-D124,"")</f>
        <v/>
      </c>
      <c r="G124" s="4">
        <f>IF(AND(D124="",E124=""),"Sì",IF(AND(ISNUMBER(D124),ISNUMBER(E124)),IF(ABS(E124-D124)&lt;=1E-9*MAX(1,ABS(D124)),"Sì","No"),IF(D124=E124,"Sì","No")))</f>
        <v/>
      </c>
    </row>
    <row r="125">
      <c r="A125" s="4" t="inlineStr">
        <is>
          <t>Settembre</t>
        </is>
      </c>
      <c r="B125" s="4" t="inlineStr">
        <is>
          <t>C097 netto atteso</t>
        </is>
      </c>
      <c r="D125" s="29" t="n">
        <v>1340.74</v>
      </c>
      <c r="E125" s="30">
        <f>Settembre!AG101</f>
        <v/>
      </c>
      <c r="F125" s="31">
        <f>IF(AND(ISNUMBER(D125),ISNUMBER(E125)),E125-D125,"")</f>
        <v/>
      </c>
      <c r="G125" s="4">
        <f>IF(AND(D125="",E125=""),"Sì",IF(AND(ISNUMBER(D125),ISNUMBER(E125)),IF(ABS(E125-D125)&lt;=1E-9*MAX(1,ABS(D125)),"Sì","No"),IF(D125=E125,"Sì","No")))</f>
        <v/>
      </c>
    </row>
    <row r="126">
      <c r="A126" s="4" t="inlineStr">
        <is>
          <t>Settembre</t>
        </is>
      </c>
      <c r="B126" s="4" t="inlineStr">
        <is>
          <t>C103 tabellare atteso</t>
        </is>
      </c>
      <c r="D126" s="29" t="n">
        <v>1675.2</v>
      </c>
      <c r="E126" s="30">
        <f>Settembre!X107</f>
        <v/>
      </c>
      <c r="F126" s="31">
        <f>IF(AND(ISNUMBER(D126),ISNUMBER(E126)),E126-D126,"")</f>
        <v/>
      </c>
      <c r="G126" s="4">
        <f>IF(AND(D126="",E126=""),"Sì",IF(AND(ISNUMBER(D126),ISNUMBER(E126)),IF(ABS(E126-D126)&lt;=1E-9*MAX(1,ABS(D126)),"Sì","No"),IF(D126=E126,"Sì","No")))</f>
        <v/>
      </c>
    </row>
    <row r="127">
      <c r="A127" s="4" t="inlineStr">
        <is>
          <t>Settembre</t>
        </is>
      </c>
      <c r="B127" s="4" t="inlineStr">
        <is>
          <t>C103 scatti_n atteso</t>
        </is>
      </c>
      <c r="D127" s="15" t="n">
        <v>2</v>
      </c>
      <c r="E127" s="32">
        <f>Settembre!Z107</f>
        <v/>
      </c>
      <c r="F127" s="31">
        <f>IF(AND(ISNUMBER(D127),ISNUMBER(E127)),E127-D127,"")</f>
        <v/>
      </c>
      <c r="G127" s="4">
        <f>IF(AND(D127="",E127=""),"Sì",IF(AND(ISNUMBER(D127),ISNUMBER(E127)),IF(ABS(E127-D127)&lt;=1E-9*MAX(1,ABS(D127)),"Sì","No"),IF(D127=E127,"Sì","No")))</f>
        <v/>
      </c>
    </row>
    <row r="128">
      <c r="A128" s="4" t="inlineStr">
        <is>
          <t>Settembre</t>
        </is>
      </c>
      <c r="B128" s="4" t="inlineStr">
        <is>
          <t>C103 scatti atteso</t>
        </is>
      </c>
      <c r="D128" s="29" t="n">
        <v>34.25</v>
      </c>
      <c r="E128" s="30">
        <f>Settembre!AA107</f>
        <v/>
      </c>
      <c r="F128" s="31">
        <f>IF(AND(ISNUMBER(D128),ISNUMBER(E128)),E128-D128,"")</f>
        <v/>
      </c>
      <c r="G128" s="4">
        <f>IF(AND(D128="",E128=""),"Sì",IF(AND(ISNUMBER(D128),ISNUMBER(E128)),IF(ABS(E128-D128)&lt;=1E-9*MAX(1,ABS(D128)),"Sì","No"),IF(D128=E128,"Sì","No")))</f>
        <v/>
      </c>
    </row>
    <row r="129">
      <c r="A129" s="4" t="inlineStr">
        <is>
          <t>Settembre</t>
        </is>
      </c>
      <c r="B129" s="4" t="inlineStr">
        <is>
          <t>C103 contributi_inps atteso</t>
        </is>
      </c>
      <c r="D129" s="29" t="n">
        <v>160.54</v>
      </c>
      <c r="E129" s="30">
        <f>Settembre!AB107</f>
        <v/>
      </c>
      <c r="F129" s="31">
        <f>IF(AND(ISNUMBER(D129),ISNUMBER(E129)),E129-D129,"")</f>
        <v/>
      </c>
      <c r="G129" s="4">
        <f>IF(AND(D129="",E129=""),"Sì",IF(AND(ISNUMBER(D129),ISNUMBER(E129)),IF(ABS(E129-D129)&lt;=1E-9*MAX(1,ABS(D129)),"Sì","No"),IF(D129=E129,"Sì","No")))</f>
        <v/>
      </c>
    </row>
    <row r="130">
      <c r="A130" s="4" t="inlineStr">
        <is>
          <t>Settembre</t>
        </is>
      </c>
      <c r="B130" s="4" t="inlineStr">
        <is>
          <t>C103 quota_tfr atteso</t>
        </is>
      </c>
      <c r="D130" s="29" t="n">
        <v>150.97</v>
      </c>
      <c r="E130" s="30">
        <f>Settembre!AC107</f>
        <v/>
      </c>
      <c r="F130" s="31">
        <f>IF(AND(ISNUMBER(D130),ISNUMBER(E130)),E130-D130,"")</f>
        <v/>
      </c>
      <c r="G130" s="4">
        <f>IF(AND(D130="",E130=""),"Sì",IF(AND(ISNUMBER(D130),ISNUMBER(E130)),IF(ABS(E130-D130)&lt;=1E-9*MAX(1,ABS(D130)),"Sì","No"),IF(D130=E130,"Sì","No")))</f>
        <v/>
      </c>
    </row>
    <row r="131">
      <c r="A131" s="4" t="inlineStr">
        <is>
          <t>Settembre</t>
        </is>
      </c>
      <c r="B131" s="4" t="inlineStr">
        <is>
          <t>C103 ferie_residuo atteso</t>
        </is>
      </c>
      <c r="D131" s="29" t="n">
        <v>19.7265</v>
      </c>
      <c r="E131" s="30">
        <f>Settembre!AE107</f>
        <v/>
      </c>
      <c r="F131" s="31">
        <f>IF(AND(ISNUMBER(D131),ISNUMBER(E131)),E131-D131,"")</f>
        <v/>
      </c>
      <c r="G131" s="4">
        <f>IF(AND(D131="",E131=""),"Sì",IF(AND(ISNUMBER(D131),ISNUMBER(E131)),IF(ABS(E131-D131)&lt;=1E-9*MAX(1,ABS(D131)),"Sì","No"),IF(D131=E131,"Sì","No")))</f>
        <v/>
      </c>
    </row>
    <row r="132">
      <c r="A132" s="4" t="inlineStr">
        <is>
          <t>Settembre</t>
        </is>
      </c>
      <c r="B132" s="4" t="inlineStr">
        <is>
          <t>C103 netto atteso</t>
        </is>
      </c>
      <c r="D132" s="29" t="n">
        <v>1347.2</v>
      </c>
      <c r="E132" s="30">
        <f>Settembre!AG107</f>
        <v/>
      </c>
      <c r="F132" s="31">
        <f>IF(AND(ISNUMBER(D132),ISNUMBER(E132)),E132-D132,"")</f>
        <v/>
      </c>
      <c r="G132" s="4">
        <f>IF(AND(D132="",E132=""),"Sì",IF(AND(ISNUMBER(D132),ISNUMBER(E132)),IF(ABS(E132-D132)&lt;=1E-9*MAX(1,ABS(D132)),"Sì","No"),IF(D132=E132,"Sì","No")))</f>
        <v/>
      </c>
    </row>
    <row r="133">
      <c r="A133" s="4" t="inlineStr">
        <is>
          <t>Settembre</t>
        </is>
      </c>
      <c r="B133" s="4" t="inlineStr">
        <is>
          <t>C109 tabellare atteso</t>
        </is>
      </c>
      <c r="D133" s="29" t="n">
        <v>1658.01</v>
      </c>
      <c r="E133" s="30">
        <f>Settembre!X113</f>
        <v/>
      </c>
      <c r="F133" s="31">
        <f>IF(AND(ISNUMBER(D133),ISNUMBER(E133)),E133-D133,"")</f>
        <v/>
      </c>
      <c r="G133" s="4">
        <f>IF(AND(D133="",E133=""),"Sì",IF(AND(ISNUMBER(D133),ISNUMBER(E133)),IF(ABS(E133-D133)&lt;=1E-9*MAX(1,ABS(D133)),"Sì","No"),IF(D133=E133,"Sì","No")))</f>
        <v/>
      </c>
    </row>
    <row r="134">
      <c r="A134" s="4" t="inlineStr">
        <is>
          <t>Settembre</t>
        </is>
      </c>
      <c r="B134" s="4" t="inlineStr">
        <is>
          <t>C109 scatti_n atteso</t>
        </is>
      </c>
      <c r="D134" s="15" t="n">
        <v>0</v>
      </c>
      <c r="E134" s="32">
        <f>Settembre!Z113</f>
        <v/>
      </c>
      <c r="F134" s="31">
        <f>IF(AND(ISNUMBER(D134),ISNUMBER(E134)),E134-D134,"")</f>
        <v/>
      </c>
      <c r="G134" s="4">
        <f>IF(AND(D134="",E134=""),"Sì",IF(AND(ISNUMBER(D134),ISNUMBER(E134)),IF(ABS(E134-D134)&lt;=1E-9*MAX(1,ABS(D134)),"Sì","No"),IF(D134=E134,"Sì","No")))</f>
        <v/>
      </c>
    </row>
    <row r="135">
      <c r="A135" s="4" t="inlineStr">
        <is>
          <t>Settembre</t>
        </is>
      </c>
      <c r="B135" s="4" t="inlineStr">
        <is>
          <t>C109 scatti atteso</t>
        </is>
      </c>
      <c r="D135" s="29" t="n">
        <v>0</v>
      </c>
      <c r="E135" s="30">
        <f>Settembre!AA113</f>
        <v/>
      </c>
      <c r="F135" s="31">
        <f>IF(AND(ISNUMBER(D135),ISNUMBER(E135)),E135-D135,"")</f>
        <v/>
      </c>
      <c r="G135" s="4">
        <f>IF(AND(D135="",E135=""),"Sì",IF(AND(ISNUMBER(D135),ISNUMBER(E135)),IF(ABS(E135-D135)&lt;=1E-9*MAX(1,ABS(D135)),"Sì","No"),IF(D135=E135,"Sì","No")))</f>
        <v/>
      </c>
    </row>
    <row r="136">
      <c r="A136" s="4" t="inlineStr">
        <is>
          <t>Settembre</t>
        </is>
      </c>
      <c r="B136" s="4" t="inlineStr">
        <is>
          <t>C109 contributi_inps atteso</t>
        </is>
      </c>
      <c r="D136" s="29" t="n">
        <v>152.37</v>
      </c>
      <c r="E136" s="30">
        <f>Settembre!AB113</f>
        <v/>
      </c>
      <c r="F136" s="31">
        <f>IF(AND(ISNUMBER(D136),ISNUMBER(E136)),E136-D136,"")</f>
        <v/>
      </c>
      <c r="G136" s="4">
        <f>IF(AND(D136="",E136=""),"Sì",IF(AND(ISNUMBER(D136),ISNUMBER(E136)),IF(ABS(E136-D136)&lt;=1E-9*MAX(1,ABS(D136)),"Sì","No"),IF(D136=E136,"Sì","No")))</f>
        <v/>
      </c>
    </row>
    <row r="137">
      <c r="A137" s="4" t="inlineStr">
        <is>
          <t>Settembre</t>
        </is>
      </c>
      <c r="B137" s="4" t="inlineStr">
        <is>
          <t>C109 quota_tfr atteso</t>
        </is>
      </c>
      <c r="D137" s="29" t="n">
        <v>143.28</v>
      </c>
      <c r="E137" s="30">
        <f>Settembre!AC113</f>
        <v/>
      </c>
      <c r="F137" s="31">
        <f>IF(AND(ISNUMBER(D137),ISNUMBER(E137)),E137-D137,"")</f>
        <v/>
      </c>
      <c r="G137" s="4">
        <f>IF(AND(D137="",E137=""),"Sì",IF(AND(ISNUMBER(D137),ISNUMBER(E137)),IF(ABS(E137-D137)&lt;=1E-9*MAX(1,ABS(D137)),"Sì","No"),IF(D137=E137,"Sì","No")))</f>
        <v/>
      </c>
    </row>
    <row r="138">
      <c r="A138" s="4" t="inlineStr">
        <is>
          <t>Settembre</t>
        </is>
      </c>
      <c r="B138" s="4" t="inlineStr">
        <is>
          <t>C109 ferie_residuo atteso</t>
        </is>
      </c>
      <c r="D138" s="29" t="n">
        <v>4.4542</v>
      </c>
      <c r="E138" s="30">
        <f>Settembre!AE113</f>
        <v/>
      </c>
      <c r="F138" s="31">
        <f>IF(AND(ISNUMBER(D138),ISNUMBER(E138)),E138-D138,"")</f>
        <v/>
      </c>
      <c r="G138" s="4">
        <f>IF(AND(D138="",E138=""),"Sì",IF(AND(ISNUMBER(D138),ISNUMBER(E138)),IF(ABS(E138-D138)&lt;=1E-9*MAX(1,ABS(D138)),"Sì","No"),IF(D138=E138,"Sì","No")))</f>
        <v/>
      </c>
    </row>
    <row r="139">
      <c r="A139" s="4" t="inlineStr">
        <is>
          <t>Settembre</t>
        </is>
      </c>
      <c r="B139" s="4" t="inlineStr">
        <is>
          <t>C109 netto atteso</t>
        </is>
      </c>
      <c r="D139" s="29" t="n">
        <v>1289.45</v>
      </c>
      <c r="E139" s="30">
        <f>Settembre!AG113</f>
        <v/>
      </c>
      <c r="F139" s="31">
        <f>IF(AND(ISNUMBER(D139),ISNUMBER(E139)),E139-D139,"")</f>
        <v/>
      </c>
      <c r="G139" s="4">
        <f>IF(AND(D139="",E139=""),"Sì",IF(AND(ISNUMBER(D139),ISNUMBER(E139)),IF(ABS(E139-D139)&lt;=1E-9*MAX(1,ABS(D139)),"Sì","No"),IF(D139=E139,"Sì","No")))</f>
        <v/>
      </c>
    </row>
    <row r="140">
      <c r="A140" s="4" t="inlineStr">
        <is>
          <t>Settembre</t>
        </is>
      </c>
      <c r="B140" s="4" t="inlineStr">
        <is>
          <t>C115 tabellare atteso</t>
        </is>
      </c>
      <c r="D140" s="29" t="n">
        <v>1395.89</v>
      </c>
      <c r="E140" s="30">
        <f>Settembre!X119</f>
        <v/>
      </c>
      <c r="F140" s="31">
        <f>IF(AND(ISNUMBER(D140),ISNUMBER(E140)),E140-D140,"")</f>
        <v/>
      </c>
      <c r="G140" s="4">
        <f>IF(AND(D140="",E140=""),"Sì",IF(AND(ISNUMBER(D140),ISNUMBER(E140)),IF(ABS(E140-D140)&lt;=1E-9*MAX(1,ABS(D140)),"Sì","No"),IF(D140=E140,"Sì","No")))</f>
        <v/>
      </c>
    </row>
    <row r="141">
      <c r="A141" s="4" t="inlineStr">
        <is>
          <t>Settembre</t>
        </is>
      </c>
      <c r="B141" s="4" t="inlineStr">
        <is>
          <t>C115 scatti_n atteso</t>
        </is>
      </c>
      <c r="D141" s="15" t="n">
        <v>7</v>
      </c>
      <c r="E141" s="32">
        <f>Settembre!Z119</f>
        <v/>
      </c>
      <c r="F141" s="31">
        <f>IF(AND(ISNUMBER(D141),ISNUMBER(E141)),E141-D141,"")</f>
        <v/>
      </c>
      <c r="G141" s="4">
        <f>IF(AND(D141="",E141=""),"Sì",IF(AND(ISNUMBER(D141),ISNUMBER(E141)),IF(ABS(E141-D141)&lt;=1E-9*MAX(1,ABS(D141)),"Sì","No"),IF(D141=E141,"Sì","No")))</f>
        <v/>
      </c>
    </row>
    <row r="142">
      <c r="A142" s="4" t="inlineStr">
        <is>
          <t>Settembre</t>
        </is>
      </c>
      <c r="B142" s="4" t="inlineStr">
        <is>
          <t>C115 scatti atteso</t>
        </is>
      </c>
      <c r="D142" s="29" t="n">
        <v>136.29</v>
      </c>
      <c r="E142" s="30">
        <f>Settembre!AA119</f>
        <v/>
      </c>
      <c r="F142" s="31">
        <f>IF(AND(ISNUMBER(D142),ISNUMBER(E142)),E142-D142,"")</f>
        <v/>
      </c>
      <c r="G142" s="4">
        <f>IF(AND(D142="",E142=""),"Sì",IF(AND(ISNUMBER(D142),ISNUMBER(E142)),IF(ABS(E142-D142)&lt;=1E-9*MAX(1,ABS(D142)),"Sì","No"),IF(D142=E142,"Sì","No")))</f>
        <v/>
      </c>
    </row>
    <row r="143">
      <c r="A143" s="4" t="inlineStr">
        <is>
          <t>Settembre</t>
        </is>
      </c>
      <c r="B143" s="4" t="inlineStr">
        <is>
          <t>C115 contributi_inps atteso</t>
        </is>
      </c>
      <c r="D143" s="29" t="n">
        <v>140.81</v>
      </c>
      <c r="E143" s="30">
        <f>Settembre!AB119</f>
        <v/>
      </c>
      <c r="F143" s="31">
        <f>IF(AND(ISNUMBER(D143),ISNUMBER(E143)),E143-D143,"")</f>
        <v/>
      </c>
      <c r="G143" s="4">
        <f>IF(AND(D143="",E143=""),"Sì",IF(AND(ISNUMBER(D143),ISNUMBER(E143)),IF(ABS(E143-D143)&lt;=1E-9*MAX(1,ABS(D143)),"Sì","No"),IF(D143=E143,"Sì","No")))</f>
        <v/>
      </c>
    </row>
    <row r="144">
      <c r="A144" s="4" t="inlineStr">
        <is>
          <t>Settembre</t>
        </is>
      </c>
      <c r="B144" s="4" t="inlineStr">
        <is>
          <t>C115 quota_tfr atteso</t>
        </is>
      </c>
      <c r="D144" s="29" t="n">
        <v>132.41</v>
      </c>
      <c r="E144" s="30">
        <f>Settembre!AC119</f>
        <v/>
      </c>
      <c r="F144" s="31">
        <f>IF(AND(ISNUMBER(D144),ISNUMBER(E144)),E144-D144,"")</f>
        <v/>
      </c>
      <c r="G144" s="4">
        <f>IF(AND(D144="",E144=""),"Sì",IF(AND(ISNUMBER(D144),ISNUMBER(E144)),IF(ABS(E144-D144)&lt;=1E-9*MAX(1,ABS(D144)),"Sì","No"),IF(D144=E144,"Sì","No")))</f>
        <v/>
      </c>
    </row>
    <row r="145">
      <c r="A145" s="4" t="inlineStr">
        <is>
          <t>Settembre</t>
        </is>
      </c>
      <c r="B145" s="4" t="inlineStr">
        <is>
          <t>C115 ferie_residuo atteso</t>
        </is>
      </c>
      <c r="D145" s="29" t="n">
        <v>12.2276</v>
      </c>
      <c r="E145" s="30">
        <f>Settembre!AE119</f>
        <v/>
      </c>
      <c r="F145" s="31">
        <f>IF(AND(ISNUMBER(D145),ISNUMBER(E145)),E145-D145,"")</f>
        <v/>
      </c>
      <c r="G145" s="4">
        <f>IF(AND(D145="",E145=""),"Sì",IF(AND(ISNUMBER(D145),ISNUMBER(E145)),IF(ABS(E145-D145)&lt;=1E-9*MAX(1,ABS(D145)),"Sì","No"),IF(D145=E145,"Sì","No")))</f>
        <v/>
      </c>
    </row>
    <row r="146">
      <c r="A146" s="4" t="inlineStr">
        <is>
          <t>Settembre</t>
        </is>
      </c>
      <c r="B146" s="4" t="inlineStr">
        <is>
          <t>C115 netto atteso</t>
        </is>
      </c>
      <c r="D146" s="29" t="n">
        <v>1207.75</v>
      </c>
      <c r="E146" s="30">
        <f>Settembre!AG119</f>
        <v/>
      </c>
      <c r="F146" s="31">
        <f>IF(AND(ISNUMBER(D146),ISNUMBER(E146)),E146-D146,"")</f>
        <v/>
      </c>
      <c r="G146" s="4">
        <f>IF(AND(D146="",E146=""),"Sì",IF(AND(ISNUMBER(D146),ISNUMBER(E146)),IF(ABS(E146-D146)&lt;=1E-9*MAX(1,ABS(D146)),"Sì","No"),IF(D146=E146,"Sì","No")))</f>
        <v/>
      </c>
    </row>
    <row r="147">
      <c r="A147" s="4" t="inlineStr">
        <is>
          <t>Settembre</t>
        </is>
      </c>
      <c r="B147" s="4" t="inlineStr">
        <is>
          <t>B201 tabellare atteso</t>
        </is>
      </c>
      <c r="D147" s="29" t="n">
        <v>1658.01</v>
      </c>
      <c r="E147" s="30">
        <f>Settembre!X125</f>
        <v/>
      </c>
      <c r="F147" s="31">
        <f>IF(AND(ISNUMBER(D147),ISNUMBER(E147)),E147-D147,"")</f>
        <v/>
      </c>
      <c r="G147" s="4">
        <f>IF(AND(D147="",E147=""),"Sì",IF(AND(ISNUMBER(D147),ISNUMBER(E147)),IF(ABS(E147-D147)&lt;=1E-9*MAX(1,ABS(D147)),"Sì","No"),IF(D147=E147,"Sì","No")))</f>
        <v/>
      </c>
    </row>
    <row r="148">
      <c r="A148" s="4" t="inlineStr">
        <is>
          <t>Settembre</t>
        </is>
      </c>
      <c r="B148" s="4" t="inlineStr">
        <is>
          <t>B201 scatti_n atteso</t>
        </is>
      </c>
      <c r="D148" s="15" t="n">
        <v>0</v>
      </c>
      <c r="E148" s="32">
        <f>Settembre!Z125</f>
        <v/>
      </c>
      <c r="F148" s="31">
        <f>IF(AND(ISNUMBER(D148),ISNUMBER(E148)),E148-D148,"")</f>
        <v/>
      </c>
      <c r="G148" s="4">
        <f>IF(AND(D148="",E148=""),"Sì",IF(AND(ISNUMBER(D148),ISNUMBER(E148)),IF(ABS(E148-D148)&lt;=1E-9*MAX(1,ABS(D148)),"Sì","No"),IF(D148=E148,"Sì","No")))</f>
        <v/>
      </c>
    </row>
    <row r="149">
      <c r="A149" s="4" t="inlineStr">
        <is>
          <t>Settembre</t>
        </is>
      </c>
      <c r="B149" s="4" t="inlineStr">
        <is>
          <t>B201 scatti atteso</t>
        </is>
      </c>
      <c r="D149" s="29" t="n">
        <v>0</v>
      </c>
      <c r="E149" s="30">
        <f>Settembre!AA125</f>
        <v/>
      </c>
      <c r="F149" s="31">
        <f>IF(AND(ISNUMBER(D149),ISNUMBER(E149)),E149-D149,"")</f>
        <v/>
      </c>
      <c r="G149" s="4">
        <f>IF(AND(D149="",E149=""),"Sì",IF(AND(ISNUMBER(D149),ISNUMBER(E149)),IF(ABS(E149-D149)&lt;=1E-9*MAX(1,ABS(D149)),"Sì","No"),IF(D149=E149,"Sì","No")))</f>
        <v/>
      </c>
    </row>
    <row r="150">
      <c r="A150" s="4" t="inlineStr">
        <is>
          <t>Settembre</t>
        </is>
      </c>
      <c r="B150" s="4" t="inlineStr">
        <is>
          <t>B201 contributi_inps atteso</t>
        </is>
      </c>
      <c r="D150" s="29" t="n">
        <v>152.37</v>
      </c>
      <c r="E150" s="30">
        <f>Settembre!AB125</f>
        <v/>
      </c>
      <c r="F150" s="31">
        <f>IF(AND(ISNUMBER(D150),ISNUMBER(E150)),E150-D150,"")</f>
        <v/>
      </c>
      <c r="G150" s="4">
        <f>IF(AND(D150="",E150=""),"Sì",IF(AND(ISNUMBER(D150),ISNUMBER(E150)),IF(ABS(E150-D150)&lt;=1E-9*MAX(1,ABS(D150)),"Sì","No"),IF(D150=E150,"Sì","No")))</f>
        <v/>
      </c>
    </row>
    <row r="151">
      <c r="A151" s="4" t="inlineStr">
        <is>
          <t>Settembre</t>
        </is>
      </c>
      <c r="B151" s="4" t="inlineStr">
        <is>
          <t>B201 quota_tfr atteso</t>
        </is>
      </c>
      <c r="D151" s="29" t="n">
        <v>143.28</v>
      </c>
      <c r="E151" s="30">
        <f>Settembre!AC125</f>
        <v/>
      </c>
      <c r="F151" s="31">
        <f>IF(AND(ISNUMBER(D151),ISNUMBER(E151)),E151-D151,"")</f>
        <v/>
      </c>
      <c r="G151" s="4">
        <f>IF(AND(D151="",E151=""),"Sì",IF(AND(ISNUMBER(D151),ISNUMBER(E151)),IF(ABS(E151-D151)&lt;=1E-9*MAX(1,ABS(D151)),"Sì","No"),IF(D151=E151,"Sì","No")))</f>
        <v/>
      </c>
    </row>
    <row r="152">
      <c r="A152" s="4" t="inlineStr">
        <is>
          <t>Settembre</t>
        </is>
      </c>
      <c r="B152" s="4" t="inlineStr">
        <is>
          <t>B201 ferie_residuo atteso</t>
        </is>
      </c>
      <c r="D152" s="29" t="n">
        <v>2.1667</v>
      </c>
      <c r="E152" s="30">
        <f>Settembre!AE125</f>
        <v/>
      </c>
      <c r="F152" s="31">
        <f>IF(AND(ISNUMBER(D152),ISNUMBER(E152)),E152-D152,"")</f>
        <v/>
      </c>
      <c r="G152" s="4">
        <f>IF(AND(D152="",E152=""),"Sì",IF(AND(ISNUMBER(D152),ISNUMBER(E152)),IF(ABS(E152-D152)&lt;=1E-9*MAX(1,ABS(D152)),"Sì","No"),IF(D152=E152,"Sì","No")))</f>
        <v/>
      </c>
    </row>
    <row r="153">
      <c r="A153" s="4" t="inlineStr">
        <is>
          <t>Settembre</t>
        </is>
      </c>
      <c r="B153" s="4" t="inlineStr">
        <is>
          <t>B201 netto atteso</t>
        </is>
      </c>
      <c r="D153" s="29" t="n">
        <v>1289.45</v>
      </c>
      <c r="E153" s="30">
        <f>Settembre!AG125</f>
        <v/>
      </c>
      <c r="F153" s="31">
        <f>IF(AND(ISNUMBER(D153),ISNUMBER(E153)),E153-D153,"")</f>
        <v/>
      </c>
      <c r="G153" s="4">
        <f>IF(AND(D153="",E153=""),"Sì",IF(AND(ISNUMBER(D153),ISNUMBER(E153)),IF(ABS(E153-D153)&lt;=1E-9*MAX(1,ABS(D153)),"Sì","No"),IF(D153=E153,"Sì","No")))</f>
        <v/>
      </c>
    </row>
    <row r="154">
      <c r="A154" s="4" t="inlineStr">
        <is>
          <t>Settembre</t>
        </is>
      </c>
      <c r="B154" s="4" t="inlineStr">
        <is>
          <t>A001 C01</t>
        </is>
      </c>
      <c r="D154" s="15" t="inlineStr">
        <is>
          <t>OK</t>
        </is>
      </c>
      <c r="E154" s="32">
        <f>Settembre!AK5</f>
        <v/>
      </c>
      <c r="F154" s="31">
        <f>IF(AND(ISNUMBER(D154),ISNUMBER(E154)),E154-D154,"")</f>
        <v/>
      </c>
      <c r="G154" s="4">
        <f>IF(AND(D154="",E154=""),"Sì",IF(AND(ISNUMBER(D154),ISNUMBER(E154)),IF(ABS(E154-D154)&lt;=1E-9*MAX(1,ABS(D154)),"Sì","No"),IF(D154=E154,"Sì","No")))</f>
        <v/>
      </c>
    </row>
    <row r="155">
      <c r="A155" s="4" t="inlineStr">
        <is>
          <t>Settembre</t>
        </is>
      </c>
      <c r="B155" s="4" t="inlineStr">
        <is>
          <t>A001 C02</t>
        </is>
      </c>
      <c r="D155" s="15" t="inlineStr">
        <is>
          <t>OK</t>
        </is>
      </c>
      <c r="E155" s="32">
        <f>Settembre!AL5</f>
        <v/>
      </c>
      <c r="F155" s="31">
        <f>IF(AND(ISNUMBER(D155),ISNUMBER(E155)),E155-D155,"")</f>
        <v/>
      </c>
      <c r="G155" s="4">
        <f>IF(AND(D155="",E155=""),"Sì",IF(AND(ISNUMBER(D155),ISNUMBER(E155)),IF(ABS(E155-D155)&lt;=1E-9*MAX(1,ABS(D155)),"Sì","No"),IF(D155=E155,"Sì","No")))</f>
        <v/>
      </c>
    </row>
    <row r="156">
      <c r="A156" s="4" t="inlineStr">
        <is>
          <t>Settembre</t>
        </is>
      </c>
      <c r="B156" s="4" t="inlineStr">
        <is>
          <t>A001 C03</t>
        </is>
      </c>
      <c r="D156" s="15" t="inlineStr">
        <is>
          <t>OK</t>
        </is>
      </c>
      <c r="E156" s="32">
        <f>Settembre!AM5</f>
        <v/>
      </c>
      <c r="F156" s="31">
        <f>IF(AND(ISNUMBER(D156),ISNUMBER(E156)),E156-D156,"")</f>
        <v/>
      </c>
      <c r="G156" s="4">
        <f>IF(AND(D156="",E156=""),"Sì",IF(AND(ISNUMBER(D156),ISNUMBER(E156)),IF(ABS(E156-D156)&lt;=1E-9*MAX(1,ABS(D156)),"Sì","No"),IF(D156=E156,"Sì","No")))</f>
        <v/>
      </c>
    </row>
    <row r="157">
      <c r="A157" s="4" t="inlineStr">
        <is>
          <t>Settembre</t>
        </is>
      </c>
      <c r="B157" s="4" t="inlineStr">
        <is>
          <t>A001 C04</t>
        </is>
      </c>
      <c r="D157" s="15" t="inlineStr">
        <is>
          <t>OK</t>
        </is>
      </c>
      <c r="E157" s="32">
        <f>Settembre!AN5</f>
        <v/>
      </c>
      <c r="F157" s="31">
        <f>IF(AND(ISNUMBER(D157),ISNUMBER(E157)),E157-D157,"")</f>
        <v/>
      </c>
      <c r="G157" s="4">
        <f>IF(AND(D157="",E157=""),"Sì",IF(AND(ISNUMBER(D157),ISNUMBER(E157)),IF(ABS(E157-D157)&lt;=1E-9*MAX(1,ABS(D157)),"Sì","No"),IF(D157=E157,"Sì","No")))</f>
        <v/>
      </c>
    </row>
    <row r="158">
      <c r="A158" s="4" t="inlineStr">
        <is>
          <t>Settembre</t>
        </is>
      </c>
      <c r="B158" s="4" t="inlineStr">
        <is>
          <t>A001 C05</t>
        </is>
      </c>
      <c r="D158" s="15" t="inlineStr">
        <is>
          <t>OK</t>
        </is>
      </c>
      <c r="E158" s="32">
        <f>Settembre!AO5</f>
        <v/>
      </c>
      <c r="F158" s="31">
        <f>IF(AND(ISNUMBER(D158),ISNUMBER(E158)),E158-D158,"")</f>
        <v/>
      </c>
      <c r="G158" s="4">
        <f>IF(AND(D158="",E158=""),"Sì",IF(AND(ISNUMBER(D158),ISNUMBER(E158)),IF(ABS(E158-D158)&lt;=1E-9*MAX(1,ABS(D158)),"Sì","No"),IF(D158=E158,"Sì","No")))</f>
        <v/>
      </c>
    </row>
    <row r="159">
      <c r="A159" s="4" t="inlineStr">
        <is>
          <t>Settembre</t>
        </is>
      </c>
      <c r="B159" s="4" t="inlineStr">
        <is>
          <t>A001 C06</t>
        </is>
      </c>
      <c r="D159" s="15" t="inlineStr">
        <is>
          <t>ERRORE</t>
        </is>
      </c>
      <c r="E159" s="32">
        <f>Settembre!AP5</f>
        <v/>
      </c>
      <c r="F159" s="31">
        <f>IF(AND(ISNUMBER(D159),ISNUMBER(E159)),E159-D159,"")</f>
        <v/>
      </c>
      <c r="G159" s="4">
        <f>IF(AND(D159="",E159=""),"Sì",IF(AND(ISNUMBER(D159),ISNUMBER(E159)),IF(ABS(E159-D159)&lt;=1E-9*MAX(1,ABS(D159)),"Sì","No"),IF(D159=E159,"Sì","No")))</f>
        <v/>
      </c>
    </row>
    <row r="160">
      <c r="A160" s="4" t="inlineStr">
        <is>
          <t>Settembre</t>
        </is>
      </c>
      <c r="B160" s="4" t="inlineStr">
        <is>
          <t>A001 C07</t>
        </is>
      </c>
      <c r="D160" s="15" t="inlineStr">
        <is>
          <t>OK</t>
        </is>
      </c>
      <c r="E160" s="32">
        <f>Settembre!AQ5</f>
        <v/>
      </c>
      <c r="F160" s="31">
        <f>IF(AND(ISNUMBER(D160),ISNUMBER(E160)),E160-D160,"")</f>
        <v/>
      </c>
      <c r="G160" s="4">
        <f>IF(AND(D160="",E160=""),"Sì",IF(AND(ISNUMBER(D160),ISNUMBER(E160)),IF(ABS(E160-D160)&lt;=1E-9*MAX(1,ABS(D160)),"Sì","No"),IF(D160=E160,"Sì","No")))</f>
        <v/>
      </c>
    </row>
    <row r="161">
      <c r="A161" s="4" t="inlineStr">
        <is>
          <t>Settembre</t>
        </is>
      </c>
      <c r="B161" s="4" t="inlineStr">
        <is>
          <t>A001 C09</t>
        </is>
      </c>
      <c r="D161" s="15" t="inlineStr">
        <is>
          <t>OK</t>
        </is>
      </c>
      <c r="E161" s="32">
        <f>Settembre!AR5</f>
        <v/>
      </c>
      <c r="F161" s="31">
        <f>IF(AND(ISNUMBER(D161),ISNUMBER(E161)),E161-D161,"")</f>
        <v/>
      </c>
      <c r="G161" s="4">
        <f>IF(AND(D161="",E161=""),"Sì",IF(AND(ISNUMBER(D161),ISNUMBER(E161)),IF(ABS(E161-D161)&lt;=1E-9*MAX(1,ABS(D161)),"Sì","No"),IF(D161=E161,"Sì","No")))</f>
        <v/>
      </c>
    </row>
    <row r="162">
      <c r="A162" s="4" t="inlineStr">
        <is>
          <t>Settembre</t>
        </is>
      </c>
      <c r="B162" s="4" t="inlineStr">
        <is>
          <t>A003 C03</t>
        </is>
      </c>
      <c r="D162" s="15" t="inlineStr">
        <is>
          <t>ERRORE</t>
        </is>
      </c>
      <c r="E162" s="32">
        <f>Settembre!AM7</f>
        <v/>
      </c>
      <c r="F162" s="31">
        <f>IF(AND(ISNUMBER(D162),ISNUMBER(E162)),E162-D162,"")</f>
        <v/>
      </c>
      <c r="G162" s="4">
        <f>IF(AND(D162="",E162=""),"Sì",IF(AND(ISNUMBER(D162),ISNUMBER(E162)),IF(ABS(E162-D162)&lt;=1E-9*MAX(1,ABS(D162)),"Sì","No"),IF(D162=E162,"Sì","No")))</f>
        <v/>
      </c>
    </row>
    <row r="163">
      <c r="A163" s="4" t="inlineStr">
        <is>
          <t>Settembre</t>
        </is>
      </c>
      <c r="B163" s="4" t="inlineStr">
        <is>
          <t>A007 C02</t>
        </is>
      </c>
      <c r="D163" s="15" t="inlineStr">
        <is>
          <t>ERRORE</t>
        </is>
      </c>
      <c r="E163" s="32">
        <f>Settembre!AL11</f>
        <v/>
      </c>
      <c r="F163" s="31">
        <f>IF(AND(ISNUMBER(D163),ISNUMBER(E163)),E163-D163,"")</f>
        <v/>
      </c>
      <c r="G163" s="4">
        <f>IF(AND(D163="",E163=""),"Sì",IF(AND(ISNUMBER(D163),ISNUMBER(E163)),IF(ABS(E163-D163)&lt;=1E-9*MAX(1,ABS(D163)),"Sì","No"),IF(D163=E163,"Sì","No")))</f>
        <v/>
      </c>
    </row>
    <row r="164">
      <c r="A164" s="4" t="inlineStr">
        <is>
          <t>Settembre</t>
        </is>
      </c>
      <c r="B164" s="4" t="inlineStr">
        <is>
          <t>A009 C05</t>
        </is>
      </c>
      <c r="D164" s="15" t="inlineStr">
        <is>
          <t>ERRORE</t>
        </is>
      </c>
      <c r="E164" s="32">
        <f>Settembre!AO13</f>
        <v/>
      </c>
      <c r="F164" s="31">
        <f>IF(AND(ISNUMBER(D164),ISNUMBER(E164)),E164-D164,"")</f>
        <v/>
      </c>
      <c r="G164" s="4">
        <f>IF(AND(D164="",E164=""),"Sì",IF(AND(ISNUMBER(D164),ISNUMBER(E164)),IF(ABS(E164-D164)&lt;=1E-9*MAX(1,ABS(D164)),"Sì","No"),IF(D164=E164,"Sì","No")))</f>
        <v/>
      </c>
    </row>
    <row r="165">
      <c r="A165" s="4" t="inlineStr">
        <is>
          <t>Settembre</t>
        </is>
      </c>
      <c r="B165" s="4" t="inlineStr">
        <is>
          <t>A011 C01</t>
        </is>
      </c>
      <c r="D165" s="15" t="inlineStr">
        <is>
          <t>OK</t>
        </is>
      </c>
      <c r="E165" s="32">
        <f>Settembre!AK15</f>
        <v/>
      </c>
      <c r="F165" s="31">
        <f>IF(AND(ISNUMBER(D165),ISNUMBER(E165)),E165-D165,"")</f>
        <v/>
      </c>
      <c r="G165" s="4">
        <f>IF(AND(D165="",E165=""),"Sì",IF(AND(ISNUMBER(D165),ISNUMBER(E165)),IF(ABS(E165-D165)&lt;=1E-9*MAX(1,ABS(D165)),"Sì","No"),IF(D165=E165,"Sì","No")))</f>
        <v/>
      </c>
    </row>
    <row r="166">
      <c r="A166" s="4" t="inlineStr">
        <is>
          <t>Settembre</t>
        </is>
      </c>
      <c r="B166" s="4" t="inlineStr">
        <is>
          <t>A011 C02</t>
        </is>
      </c>
      <c r="D166" s="15" t="inlineStr">
        <is>
          <t>OK</t>
        </is>
      </c>
      <c r="E166" s="32">
        <f>Settembre!AL15</f>
        <v/>
      </c>
      <c r="F166" s="31">
        <f>IF(AND(ISNUMBER(D166),ISNUMBER(E166)),E166-D166,"")</f>
        <v/>
      </c>
      <c r="G166" s="4">
        <f>IF(AND(D166="",E166=""),"Sì",IF(AND(ISNUMBER(D166),ISNUMBER(E166)),IF(ABS(E166-D166)&lt;=1E-9*MAX(1,ABS(D166)),"Sì","No"),IF(D166=E166,"Sì","No")))</f>
        <v/>
      </c>
    </row>
    <row r="167">
      <c r="A167" s="4" t="inlineStr">
        <is>
          <t>Settembre</t>
        </is>
      </c>
      <c r="B167" s="4" t="inlineStr">
        <is>
          <t>A011 C03</t>
        </is>
      </c>
      <c r="D167" s="15" t="inlineStr">
        <is>
          <t>OK</t>
        </is>
      </c>
      <c r="E167" s="32">
        <f>Settembre!AM15</f>
        <v/>
      </c>
      <c r="F167" s="31">
        <f>IF(AND(ISNUMBER(D167),ISNUMBER(E167)),E167-D167,"")</f>
        <v/>
      </c>
      <c r="G167" s="4">
        <f>IF(AND(D167="",E167=""),"Sì",IF(AND(ISNUMBER(D167),ISNUMBER(E167)),IF(ABS(E167-D167)&lt;=1E-9*MAX(1,ABS(D167)),"Sì","No"),IF(D167=E167,"Sì","No")))</f>
        <v/>
      </c>
    </row>
    <row r="168">
      <c r="A168" s="4" t="inlineStr">
        <is>
          <t>Settembre</t>
        </is>
      </c>
      <c r="B168" s="4" t="inlineStr">
        <is>
          <t>A011 C04</t>
        </is>
      </c>
      <c r="D168" s="15" t="inlineStr">
        <is>
          <t>OK</t>
        </is>
      </c>
      <c r="E168" s="32">
        <f>Settembre!AN15</f>
        <v/>
      </c>
      <c r="F168" s="31">
        <f>IF(AND(ISNUMBER(D168),ISNUMBER(E168)),E168-D168,"")</f>
        <v/>
      </c>
      <c r="G168" s="4">
        <f>IF(AND(D168="",E168=""),"Sì",IF(AND(ISNUMBER(D168),ISNUMBER(E168)),IF(ABS(E168-D168)&lt;=1E-9*MAX(1,ABS(D168)),"Sì","No"),IF(D168=E168,"Sì","No")))</f>
        <v/>
      </c>
    </row>
    <row r="169">
      <c r="A169" s="4" t="inlineStr">
        <is>
          <t>Settembre</t>
        </is>
      </c>
      <c r="B169" s="4" t="inlineStr">
        <is>
          <t>A011 C05</t>
        </is>
      </c>
      <c r="D169" s="15" t="inlineStr">
        <is>
          <t>OK</t>
        </is>
      </c>
      <c r="E169" s="32">
        <f>Settembre!AO15</f>
        <v/>
      </c>
      <c r="F169" s="31">
        <f>IF(AND(ISNUMBER(D169),ISNUMBER(E169)),E169-D169,"")</f>
        <v/>
      </c>
      <c r="G169" s="4">
        <f>IF(AND(D169="",E169=""),"Sì",IF(AND(ISNUMBER(D169),ISNUMBER(E169)),IF(ABS(E169-D169)&lt;=1E-9*MAX(1,ABS(D169)),"Sì","No"),IF(D169=E169,"Sì","No")))</f>
        <v/>
      </c>
    </row>
    <row r="170">
      <c r="A170" s="4" t="inlineStr">
        <is>
          <t>Settembre</t>
        </is>
      </c>
      <c r="B170" s="4" t="inlineStr">
        <is>
          <t>A011 C06</t>
        </is>
      </c>
      <c r="D170" s="15" t="inlineStr">
        <is>
          <t>OK</t>
        </is>
      </c>
      <c r="E170" s="32">
        <f>Settembre!AP15</f>
        <v/>
      </c>
      <c r="F170" s="31">
        <f>IF(AND(ISNUMBER(D170),ISNUMBER(E170)),E170-D170,"")</f>
        <v/>
      </c>
      <c r="G170" s="4">
        <f>IF(AND(D170="",E170=""),"Sì",IF(AND(ISNUMBER(D170),ISNUMBER(E170)),IF(ABS(E170-D170)&lt;=1E-9*MAX(1,ABS(D170)),"Sì","No"),IF(D170=E170,"Sì","No")))</f>
        <v/>
      </c>
    </row>
    <row r="171">
      <c r="A171" s="4" t="inlineStr">
        <is>
          <t>Settembre</t>
        </is>
      </c>
      <c r="B171" s="4" t="inlineStr">
        <is>
          <t>A011 C07</t>
        </is>
      </c>
      <c r="D171" s="15" t="inlineStr">
        <is>
          <t>OK</t>
        </is>
      </c>
      <c r="E171" s="32">
        <f>Settembre!AQ15</f>
        <v/>
      </c>
      <c r="F171" s="31">
        <f>IF(AND(ISNUMBER(D171),ISNUMBER(E171)),E171-D171,"")</f>
        <v/>
      </c>
      <c r="G171" s="4">
        <f>IF(AND(D171="",E171=""),"Sì",IF(AND(ISNUMBER(D171),ISNUMBER(E171)),IF(ABS(E171-D171)&lt;=1E-9*MAX(1,ABS(D171)),"Sì","No"),IF(D171=E171,"Sì","No")))</f>
        <v/>
      </c>
    </row>
    <row r="172">
      <c r="A172" s="4" t="inlineStr">
        <is>
          <t>Settembre</t>
        </is>
      </c>
      <c r="B172" s="4" t="inlineStr">
        <is>
          <t>A011 C09</t>
        </is>
      </c>
      <c r="D172" s="15" t="inlineStr">
        <is>
          <t>OK</t>
        </is>
      </c>
      <c r="E172" s="32">
        <f>Settembre!AR15</f>
        <v/>
      </c>
      <c r="F172" s="31">
        <f>IF(AND(ISNUMBER(D172),ISNUMBER(E172)),E172-D172,"")</f>
        <v/>
      </c>
      <c r="G172" s="4">
        <f>IF(AND(D172="",E172=""),"Sì",IF(AND(ISNUMBER(D172),ISNUMBER(E172)),IF(ABS(E172-D172)&lt;=1E-9*MAX(1,ABS(D172)),"Sì","No"),IF(D172=E172,"Sì","No")))</f>
        <v/>
      </c>
    </row>
    <row r="173">
      <c r="A173" s="4" t="inlineStr">
        <is>
          <t>Settembre</t>
        </is>
      </c>
      <c r="B173" s="4" t="inlineStr">
        <is>
          <t>A012 C03</t>
        </is>
      </c>
      <c r="D173" s="15" t="inlineStr">
        <is>
          <t>ERRORE</t>
        </is>
      </c>
      <c r="E173" s="32">
        <f>Settembre!AM16</f>
        <v/>
      </c>
      <c r="F173" s="31">
        <f>IF(AND(ISNUMBER(D173),ISNUMBER(E173)),E173-D173,"")</f>
        <v/>
      </c>
      <c r="G173" s="4">
        <f>IF(AND(D173="",E173=""),"Sì",IF(AND(ISNUMBER(D173),ISNUMBER(E173)),IF(ABS(E173-D173)&lt;=1E-9*MAX(1,ABS(D173)),"Sì","No"),IF(D173=E173,"Sì","No")))</f>
        <v/>
      </c>
    </row>
    <row r="174">
      <c r="A174" s="4" t="inlineStr">
        <is>
          <t>Settembre</t>
        </is>
      </c>
      <c r="B174" s="4" t="inlineStr">
        <is>
          <t>A016 C02</t>
        </is>
      </c>
      <c r="D174" s="15" t="inlineStr">
        <is>
          <t>ERRORE</t>
        </is>
      </c>
      <c r="E174" s="32">
        <f>Settembre!AL20</f>
        <v/>
      </c>
      <c r="F174" s="31">
        <f>IF(AND(ISNUMBER(D174),ISNUMBER(E174)),E174-D174,"")</f>
        <v/>
      </c>
      <c r="G174" s="4">
        <f>IF(AND(D174="",E174=""),"Sì",IF(AND(ISNUMBER(D174),ISNUMBER(E174)),IF(ABS(E174-D174)&lt;=1E-9*MAX(1,ABS(D174)),"Sì","No"),IF(D174=E174,"Sì","No")))</f>
        <v/>
      </c>
    </row>
    <row r="175">
      <c r="A175" s="4" t="inlineStr">
        <is>
          <t>Settembre</t>
        </is>
      </c>
      <c r="B175" s="4" t="inlineStr">
        <is>
          <t>B021 C01</t>
        </is>
      </c>
      <c r="D175" s="15" t="inlineStr">
        <is>
          <t>OK</t>
        </is>
      </c>
      <c r="E175" s="32">
        <f>Settembre!AK25</f>
        <v/>
      </c>
      <c r="F175" s="31">
        <f>IF(AND(ISNUMBER(D175),ISNUMBER(E175)),E175-D175,"")</f>
        <v/>
      </c>
      <c r="G175" s="4">
        <f>IF(AND(D175="",E175=""),"Sì",IF(AND(ISNUMBER(D175),ISNUMBER(E175)),IF(ABS(E175-D175)&lt;=1E-9*MAX(1,ABS(D175)),"Sì","No"),IF(D175=E175,"Sì","No")))</f>
        <v/>
      </c>
    </row>
    <row r="176">
      <c r="A176" s="4" t="inlineStr">
        <is>
          <t>Settembre</t>
        </is>
      </c>
      <c r="B176" s="4" t="inlineStr">
        <is>
          <t>B021 C02</t>
        </is>
      </c>
      <c r="D176" s="15" t="inlineStr">
        <is>
          <t>OK</t>
        </is>
      </c>
      <c r="E176" s="32">
        <f>Settembre!AL25</f>
        <v/>
      </c>
      <c r="F176" s="31">
        <f>IF(AND(ISNUMBER(D176),ISNUMBER(E176)),E176-D176,"")</f>
        <v/>
      </c>
      <c r="G176" s="4">
        <f>IF(AND(D176="",E176=""),"Sì",IF(AND(ISNUMBER(D176),ISNUMBER(E176)),IF(ABS(E176-D176)&lt;=1E-9*MAX(1,ABS(D176)),"Sì","No"),IF(D176=E176,"Sì","No")))</f>
        <v/>
      </c>
    </row>
    <row r="177">
      <c r="A177" s="4" t="inlineStr">
        <is>
          <t>Settembre</t>
        </is>
      </c>
      <c r="B177" s="4" t="inlineStr">
        <is>
          <t>B021 C03</t>
        </is>
      </c>
      <c r="D177" s="15" t="inlineStr">
        <is>
          <t>OK</t>
        </is>
      </c>
      <c r="E177" s="32">
        <f>Settembre!AM25</f>
        <v/>
      </c>
      <c r="F177" s="31">
        <f>IF(AND(ISNUMBER(D177),ISNUMBER(E177)),E177-D177,"")</f>
        <v/>
      </c>
      <c r="G177" s="4">
        <f>IF(AND(D177="",E177=""),"Sì",IF(AND(ISNUMBER(D177),ISNUMBER(E177)),IF(ABS(E177-D177)&lt;=1E-9*MAX(1,ABS(D177)),"Sì","No"),IF(D177=E177,"Sì","No")))</f>
        <v/>
      </c>
    </row>
    <row r="178">
      <c r="A178" s="4" t="inlineStr">
        <is>
          <t>Settembre</t>
        </is>
      </c>
      <c r="B178" s="4" t="inlineStr">
        <is>
          <t>B021 C04</t>
        </is>
      </c>
      <c r="D178" s="15" t="inlineStr">
        <is>
          <t>OK</t>
        </is>
      </c>
      <c r="E178" s="32">
        <f>Settembre!AN25</f>
        <v/>
      </c>
      <c r="F178" s="31">
        <f>IF(AND(ISNUMBER(D178),ISNUMBER(E178)),E178-D178,"")</f>
        <v/>
      </c>
      <c r="G178" s="4">
        <f>IF(AND(D178="",E178=""),"Sì",IF(AND(ISNUMBER(D178),ISNUMBER(E178)),IF(ABS(E178-D178)&lt;=1E-9*MAX(1,ABS(D178)),"Sì","No"),IF(D178=E178,"Sì","No")))</f>
        <v/>
      </c>
    </row>
    <row r="179">
      <c r="A179" s="4" t="inlineStr">
        <is>
          <t>Settembre</t>
        </is>
      </c>
      <c r="B179" s="4" t="inlineStr">
        <is>
          <t>B021 C05</t>
        </is>
      </c>
      <c r="D179" s="15" t="inlineStr">
        <is>
          <t>OK</t>
        </is>
      </c>
      <c r="E179" s="32">
        <f>Settembre!AO25</f>
        <v/>
      </c>
      <c r="F179" s="31">
        <f>IF(AND(ISNUMBER(D179),ISNUMBER(E179)),E179-D179,"")</f>
        <v/>
      </c>
      <c r="G179" s="4">
        <f>IF(AND(D179="",E179=""),"Sì",IF(AND(ISNUMBER(D179),ISNUMBER(E179)),IF(ABS(E179-D179)&lt;=1E-9*MAX(1,ABS(D179)),"Sì","No"),IF(D179=E179,"Sì","No")))</f>
        <v/>
      </c>
    </row>
    <row r="180">
      <c r="A180" s="4" t="inlineStr">
        <is>
          <t>Settembre</t>
        </is>
      </c>
      <c r="B180" s="4" t="inlineStr">
        <is>
          <t>B021 C06</t>
        </is>
      </c>
      <c r="D180" s="15" t="inlineStr">
        <is>
          <t>OK</t>
        </is>
      </c>
      <c r="E180" s="32">
        <f>Settembre!AP25</f>
        <v/>
      </c>
      <c r="F180" s="31">
        <f>IF(AND(ISNUMBER(D180),ISNUMBER(E180)),E180-D180,"")</f>
        <v/>
      </c>
      <c r="G180" s="4">
        <f>IF(AND(D180="",E180=""),"Sì",IF(AND(ISNUMBER(D180),ISNUMBER(E180)),IF(ABS(E180-D180)&lt;=1E-9*MAX(1,ABS(D180)),"Sì","No"),IF(D180=E180,"Sì","No")))</f>
        <v/>
      </c>
    </row>
    <row r="181">
      <c r="A181" s="4" t="inlineStr">
        <is>
          <t>Settembre</t>
        </is>
      </c>
      <c r="B181" s="4" t="inlineStr">
        <is>
          <t>B021 C07</t>
        </is>
      </c>
      <c r="D181" s="15" t="inlineStr">
        <is>
          <t>OK</t>
        </is>
      </c>
      <c r="E181" s="32">
        <f>Settembre!AQ25</f>
        <v/>
      </c>
      <c r="F181" s="31">
        <f>IF(AND(ISNUMBER(D181),ISNUMBER(E181)),E181-D181,"")</f>
        <v/>
      </c>
      <c r="G181" s="4">
        <f>IF(AND(D181="",E181=""),"Sì",IF(AND(ISNUMBER(D181),ISNUMBER(E181)),IF(ABS(E181-D181)&lt;=1E-9*MAX(1,ABS(D181)),"Sì","No"),IF(D181=E181,"Sì","No")))</f>
        <v/>
      </c>
    </row>
    <row r="182">
      <c r="A182" s="4" t="inlineStr">
        <is>
          <t>Settembre</t>
        </is>
      </c>
      <c r="B182" s="4" t="inlineStr">
        <is>
          <t>B021 C09</t>
        </is>
      </c>
      <c r="D182" s="15" t="inlineStr">
        <is>
          <t>OK</t>
        </is>
      </c>
      <c r="E182" s="32">
        <f>Settembre!AR25</f>
        <v/>
      </c>
      <c r="F182" s="31">
        <f>IF(AND(ISNUMBER(D182),ISNUMBER(E182)),E182-D182,"")</f>
        <v/>
      </c>
      <c r="G182" s="4">
        <f>IF(AND(D182="",E182=""),"Sì",IF(AND(ISNUMBER(D182),ISNUMBER(E182)),IF(ABS(E182-D182)&lt;=1E-9*MAX(1,ABS(D182)),"Sì","No"),IF(D182=E182,"Sì","No")))</f>
        <v/>
      </c>
    </row>
    <row r="183">
      <c r="A183" s="4" t="inlineStr">
        <is>
          <t>Settembre</t>
        </is>
      </c>
      <c r="B183" s="4" t="inlineStr">
        <is>
          <t>B025 C02</t>
        </is>
      </c>
      <c r="D183" s="15" t="inlineStr">
        <is>
          <t>ERRORE</t>
        </is>
      </c>
      <c r="E183" s="32">
        <f>Settembre!AL29</f>
        <v/>
      </c>
      <c r="F183" s="31">
        <f>IF(AND(ISNUMBER(D183),ISNUMBER(E183)),E183-D183,"")</f>
        <v/>
      </c>
      <c r="G183" s="4">
        <f>IF(AND(D183="",E183=""),"Sì",IF(AND(ISNUMBER(D183),ISNUMBER(E183)),IF(ABS(E183-D183)&lt;=1E-9*MAX(1,ABS(D183)),"Sì","No"),IF(D183=E183,"Sì","No")))</f>
        <v/>
      </c>
    </row>
    <row r="184">
      <c r="A184" s="4" t="inlineStr">
        <is>
          <t>Settembre</t>
        </is>
      </c>
      <c r="B184" s="4" t="inlineStr">
        <is>
          <t>B031 C01</t>
        </is>
      </c>
      <c r="D184" s="15" t="inlineStr">
        <is>
          <t>ERRORE</t>
        </is>
      </c>
      <c r="E184" s="32">
        <f>Settembre!AK35</f>
        <v/>
      </c>
      <c r="F184" s="31">
        <f>IF(AND(ISNUMBER(D184),ISNUMBER(E184)),E184-D184,"")</f>
        <v/>
      </c>
      <c r="G184" s="4">
        <f>IF(AND(D184="",E184=""),"Sì",IF(AND(ISNUMBER(D184),ISNUMBER(E184)),IF(ABS(E184-D184)&lt;=1E-9*MAX(1,ABS(D184)),"Sì","No"),IF(D184=E184,"Sì","No")))</f>
        <v/>
      </c>
    </row>
    <row r="185">
      <c r="A185" s="4" t="inlineStr">
        <is>
          <t>Settembre</t>
        </is>
      </c>
      <c r="B185" s="4" t="inlineStr">
        <is>
          <t>B031 C02</t>
        </is>
      </c>
      <c r="D185" s="15" t="inlineStr">
        <is>
          <t>OK</t>
        </is>
      </c>
      <c r="E185" s="32">
        <f>Settembre!AL35</f>
        <v/>
      </c>
      <c r="F185" s="31">
        <f>IF(AND(ISNUMBER(D185),ISNUMBER(E185)),E185-D185,"")</f>
        <v/>
      </c>
      <c r="G185" s="4">
        <f>IF(AND(D185="",E185=""),"Sì",IF(AND(ISNUMBER(D185),ISNUMBER(E185)),IF(ABS(E185-D185)&lt;=1E-9*MAX(1,ABS(D185)),"Sì","No"),IF(D185=E185,"Sì","No")))</f>
        <v/>
      </c>
    </row>
    <row r="186">
      <c r="A186" s="4" t="inlineStr">
        <is>
          <t>Settembre</t>
        </is>
      </c>
      <c r="B186" s="4" t="inlineStr">
        <is>
          <t>B031 C03</t>
        </is>
      </c>
      <c r="D186" s="15" t="inlineStr">
        <is>
          <t>OK</t>
        </is>
      </c>
      <c r="E186" s="32">
        <f>Settembre!AM35</f>
        <v/>
      </c>
      <c r="F186" s="31">
        <f>IF(AND(ISNUMBER(D186),ISNUMBER(E186)),E186-D186,"")</f>
        <v/>
      </c>
      <c r="G186" s="4">
        <f>IF(AND(D186="",E186=""),"Sì",IF(AND(ISNUMBER(D186),ISNUMBER(E186)),IF(ABS(E186-D186)&lt;=1E-9*MAX(1,ABS(D186)),"Sì","No"),IF(D186=E186,"Sì","No")))</f>
        <v/>
      </c>
    </row>
    <row r="187">
      <c r="A187" s="4" t="inlineStr">
        <is>
          <t>Settembre</t>
        </is>
      </c>
      <c r="B187" s="4" t="inlineStr">
        <is>
          <t>B031 C04</t>
        </is>
      </c>
      <c r="D187" s="15" t="inlineStr">
        <is>
          <t>OK</t>
        </is>
      </c>
      <c r="E187" s="32">
        <f>Settembre!AN35</f>
        <v/>
      </c>
      <c r="F187" s="31">
        <f>IF(AND(ISNUMBER(D187),ISNUMBER(E187)),E187-D187,"")</f>
        <v/>
      </c>
      <c r="G187" s="4">
        <f>IF(AND(D187="",E187=""),"Sì",IF(AND(ISNUMBER(D187),ISNUMBER(E187)),IF(ABS(E187-D187)&lt;=1E-9*MAX(1,ABS(D187)),"Sì","No"),IF(D187=E187,"Sì","No")))</f>
        <v/>
      </c>
    </row>
    <row r="188">
      <c r="A188" s="4" t="inlineStr">
        <is>
          <t>Settembre</t>
        </is>
      </c>
      <c r="B188" s="4" t="inlineStr">
        <is>
          <t>B031 C05</t>
        </is>
      </c>
      <c r="D188" s="15" t="inlineStr">
        <is>
          <t>OK</t>
        </is>
      </c>
      <c r="E188" s="32">
        <f>Settembre!AO35</f>
        <v/>
      </c>
      <c r="F188" s="31">
        <f>IF(AND(ISNUMBER(D188),ISNUMBER(E188)),E188-D188,"")</f>
        <v/>
      </c>
      <c r="G188" s="4">
        <f>IF(AND(D188="",E188=""),"Sì",IF(AND(ISNUMBER(D188),ISNUMBER(E188)),IF(ABS(E188-D188)&lt;=1E-9*MAX(1,ABS(D188)),"Sì","No"),IF(D188=E188,"Sì","No")))</f>
        <v/>
      </c>
    </row>
    <row r="189">
      <c r="A189" s="4" t="inlineStr">
        <is>
          <t>Settembre</t>
        </is>
      </c>
      <c r="B189" s="4" t="inlineStr">
        <is>
          <t>B031 C06</t>
        </is>
      </c>
      <c r="D189" s="15" t="inlineStr">
        <is>
          <t>OK</t>
        </is>
      </c>
      <c r="E189" s="32">
        <f>Settembre!AP35</f>
        <v/>
      </c>
      <c r="F189" s="31">
        <f>IF(AND(ISNUMBER(D189),ISNUMBER(E189)),E189-D189,"")</f>
        <v/>
      </c>
      <c r="G189" s="4">
        <f>IF(AND(D189="",E189=""),"Sì",IF(AND(ISNUMBER(D189),ISNUMBER(E189)),IF(ABS(E189-D189)&lt;=1E-9*MAX(1,ABS(D189)),"Sì","No"),IF(D189=E189,"Sì","No")))</f>
        <v/>
      </c>
    </row>
    <row r="190">
      <c r="A190" s="4" t="inlineStr">
        <is>
          <t>Settembre</t>
        </is>
      </c>
      <c r="B190" s="4" t="inlineStr">
        <is>
          <t>B031 C07</t>
        </is>
      </c>
      <c r="D190" s="15" t="inlineStr">
        <is>
          <t>OK</t>
        </is>
      </c>
      <c r="E190" s="32">
        <f>Settembre!AQ35</f>
        <v/>
      </c>
      <c r="F190" s="31">
        <f>IF(AND(ISNUMBER(D190),ISNUMBER(E190)),E190-D190,"")</f>
        <v/>
      </c>
      <c r="G190" s="4">
        <f>IF(AND(D190="",E190=""),"Sì",IF(AND(ISNUMBER(D190),ISNUMBER(E190)),IF(ABS(E190-D190)&lt;=1E-9*MAX(1,ABS(D190)),"Sì","No"),IF(D190=E190,"Sì","No")))</f>
        <v/>
      </c>
    </row>
    <row r="191">
      <c r="A191" s="4" t="inlineStr">
        <is>
          <t>Settembre</t>
        </is>
      </c>
      <c r="B191" s="4" t="inlineStr">
        <is>
          <t>B031 C09</t>
        </is>
      </c>
      <c r="D191" s="15" t="inlineStr">
        <is>
          <t>OK</t>
        </is>
      </c>
      <c r="E191" s="32">
        <f>Settembre!AR35</f>
        <v/>
      </c>
      <c r="F191" s="31">
        <f>IF(AND(ISNUMBER(D191),ISNUMBER(E191)),E191-D191,"")</f>
        <v/>
      </c>
      <c r="G191" s="4">
        <f>IF(AND(D191="",E191=""),"Sì",IF(AND(ISNUMBER(D191),ISNUMBER(E191)),IF(ABS(E191-D191)&lt;=1E-9*MAX(1,ABS(D191)),"Sì","No"),IF(D191=E191,"Sì","No")))</f>
        <v/>
      </c>
    </row>
    <row r="192">
      <c r="A192" s="4" t="inlineStr">
        <is>
          <t>Settembre</t>
        </is>
      </c>
      <c r="B192" s="4" t="inlineStr">
        <is>
          <t>B033 C04</t>
        </is>
      </c>
      <c r="D192" s="15" t="inlineStr">
        <is>
          <t>ERRORE</t>
        </is>
      </c>
      <c r="E192" s="32">
        <f>Settembre!AN37</f>
        <v/>
      </c>
      <c r="F192" s="31">
        <f>IF(AND(ISNUMBER(D192),ISNUMBER(E192)),E192-D192,"")</f>
        <v/>
      </c>
      <c r="G192" s="4">
        <f>IF(AND(D192="",E192=""),"Sì",IF(AND(ISNUMBER(D192),ISNUMBER(E192)),IF(ABS(E192-D192)&lt;=1E-9*MAX(1,ABS(D192)),"Sì","No"),IF(D192=E192,"Sì","No")))</f>
        <v/>
      </c>
    </row>
    <row r="193">
      <c r="A193" s="4" t="inlineStr">
        <is>
          <t>Settembre</t>
        </is>
      </c>
      <c r="B193" s="4" t="inlineStr">
        <is>
          <t>B036 C01</t>
        </is>
      </c>
      <c r="D193" s="15" t="inlineStr">
        <is>
          <t>ERRORE</t>
        </is>
      </c>
      <c r="E193" s="32">
        <f>Settembre!AK40</f>
        <v/>
      </c>
      <c r="F193" s="31">
        <f>IF(AND(ISNUMBER(D193),ISNUMBER(E193)),E193-D193,"")</f>
        <v/>
      </c>
      <c r="G193" s="4">
        <f>IF(AND(D193="",E193=""),"Sì",IF(AND(ISNUMBER(D193),ISNUMBER(E193)),IF(ABS(E193-D193)&lt;=1E-9*MAX(1,ABS(D193)),"Sì","No"),IF(D193=E193,"Sì","No")))</f>
        <v/>
      </c>
    </row>
    <row r="194">
      <c r="A194" s="4" t="inlineStr">
        <is>
          <t>Settembre</t>
        </is>
      </c>
      <c r="B194" s="4" t="inlineStr">
        <is>
          <t>B041 C01</t>
        </is>
      </c>
      <c r="D194" s="15" t="inlineStr">
        <is>
          <t>OK</t>
        </is>
      </c>
      <c r="E194" s="32">
        <f>Settembre!AK45</f>
        <v/>
      </c>
      <c r="F194" s="31">
        <f>IF(AND(ISNUMBER(D194),ISNUMBER(E194)),E194-D194,"")</f>
        <v/>
      </c>
      <c r="G194" s="4">
        <f>IF(AND(D194="",E194=""),"Sì",IF(AND(ISNUMBER(D194),ISNUMBER(E194)),IF(ABS(E194-D194)&lt;=1E-9*MAX(1,ABS(D194)),"Sì","No"),IF(D194=E194,"Sì","No")))</f>
        <v/>
      </c>
    </row>
    <row r="195">
      <c r="A195" s="4" t="inlineStr">
        <is>
          <t>Settembre</t>
        </is>
      </c>
      <c r="B195" s="4" t="inlineStr">
        <is>
          <t>B041 C02</t>
        </is>
      </c>
      <c r="D195" s="15" t="inlineStr">
        <is>
          <t>OK</t>
        </is>
      </c>
      <c r="E195" s="32">
        <f>Settembre!AL45</f>
        <v/>
      </c>
      <c r="F195" s="31">
        <f>IF(AND(ISNUMBER(D195),ISNUMBER(E195)),E195-D195,"")</f>
        <v/>
      </c>
      <c r="G195" s="4">
        <f>IF(AND(D195="",E195=""),"Sì",IF(AND(ISNUMBER(D195),ISNUMBER(E195)),IF(ABS(E195-D195)&lt;=1E-9*MAX(1,ABS(D195)),"Sì","No"),IF(D195=E195,"Sì","No")))</f>
        <v/>
      </c>
    </row>
    <row r="196">
      <c r="A196" s="4" t="inlineStr">
        <is>
          <t>Settembre</t>
        </is>
      </c>
      <c r="B196" s="4" t="inlineStr">
        <is>
          <t>B041 C03</t>
        </is>
      </c>
      <c r="D196" s="15" t="inlineStr">
        <is>
          <t>OK</t>
        </is>
      </c>
      <c r="E196" s="32">
        <f>Settembre!AM45</f>
        <v/>
      </c>
      <c r="F196" s="31">
        <f>IF(AND(ISNUMBER(D196),ISNUMBER(E196)),E196-D196,"")</f>
        <v/>
      </c>
      <c r="G196" s="4">
        <f>IF(AND(D196="",E196=""),"Sì",IF(AND(ISNUMBER(D196),ISNUMBER(E196)),IF(ABS(E196-D196)&lt;=1E-9*MAX(1,ABS(D196)),"Sì","No"),IF(D196=E196,"Sì","No")))</f>
        <v/>
      </c>
    </row>
    <row r="197">
      <c r="A197" s="4" t="inlineStr">
        <is>
          <t>Settembre</t>
        </is>
      </c>
      <c r="B197" s="4" t="inlineStr">
        <is>
          <t>B041 C04</t>
        </is>
      </c>
      <c r="D197" s="15" t="inlineStr">
        <is>
          <t>OK</t>
        </is>
      </c>
      <c r="E197" s="32">
        <f>Settembre!AN45</f>
        <v/>
      </c>
      <c r="F197" s="31">
        <f>IF(AND(ISNUMBER(D197),ISNUMBER(E197)),E197-D197,"")</f>
        <v/>
      </c>
      <c r="G197" s="4">
        <f>IF(AND(D197="",E197=""),"Sì",IF(AND(ISNUMBER(D197),ISNUMBER(E197)),IF(ABS(E197-D197)&lt;=1E-9*MAX(1,ABS(D197)),"Sì","No"),IF(D197=E197,"Sì","No")))</f>
        <v/>
      </c>
    </row>
    <row r="198">
      <c r="A198" s="4" t="inlineStr">
        <is>
          <t>Settembre</t>
        </is>
      </c>
      <c r="B198" s="4" t="inlineStr">
        <is>
          <t>B041 C05</t>
        </is>
      </c>
      <c r="D198" s="15" t="inlineStr">
        <is>
          <t>OK</t>
        </is>
      </c>
      <c r="E198" s="32">
        <f>Settembre!AO45</f>
        <v/>
      </c>
      <c r="F198" s="31">
        <f>IF(AND(ISNUMBER(D198),ISNUMBER(E198)),E198-D198,"")</f>
        <v/>
      </c>
      <c r="G198" s="4">
        <f>IF(AND(D198="",E198=""),"Sì",IF(AND(ISNUMBER(D198),ISNUMBER(E198)),IF(ABS(E198-D198)&lt;=1E-9*MAX(1,ABS(D198)),"Sì","No"),IF(D198=E198,"Sì","No")))</f>
        <v/>
      </c>
    </row>
    <row r="199">
      <c r="A199" s="4" t="inlineStr">
        <is>
          <t>Settembre</t>
        </is>
      </c>
      <c r="B199" s="4" t="inlineStr">
        <is>
          <t>B041 C06</t>
        </is>
      </c>
      <c r="D199" s="15" t="inlineStr">
        <is>
          <t>OK</t>
        </is>
      </c>
      <c r="E199" s="32">
        <f>Settembre!AP45</f>
        <v/>
      </c>
      <c r="F199" s="31">
        <f>IF(AND(ISNUMBER(D199),ISNUMBER(E199)),E199-D199,"")</f>
        <v/>
      </c>
      <c r="G199" s="4">
        <f>IF(AND(D199="",E199=""),"Sì",IF(AND(ISNUMBER(D199),ISNUMBER(E199)),IF(ABS(E199-D199)&lt;=1E-9*MAX(1,ABS(D199)),"Sì","No"),IF(D199=E199,"Sì","No")))</f>
        <v/>
      </c>
    </row>
    <row r="200">
      <c r="A200" s="4" t="inlineStr">
        <is>
          <t>Settembre</t>
        </is>
      </c>
      <c r="B200" s="4" t="inlineStr">
        <is>
          <t>B041 C07</t>
        </is>
      </c>
      <c r="D200" s="15" t="inlineStr">
        <is>
          <t>OK</t>
        </is>
      </c>
      <c r="E200" s="32">
        <f>Settembre!AQ45</f>
        <v/>
      </c>
      <c r="F200" s="31">
        <f>IF(AND(ISNUMBER(D200),ISNUMBER(E200)),E200-D200,"")</f>
        <v/>
      </c>
      <c r="G200" s="4">
        <f>IF(AND(D200="",E200=""),"Sì",IF(AND(ISNUMBER(D200),ISNUMBER(E200)),IF(ABS(E200-D200)&lt;=1E-9*MAX(1,ABS(D200)),"Sì","No"),IF(D200=E200,"Sì","No")))</f>
        <v/>
      </c>
    </row>
    <row r="201">
      <c r="A201" s="4" t="inlineStr">
        <is>
          <t>Settembre</t>
        </is>
      </c>
      <c r="B201" s="4" t="inlineStr">
        <is>
          <t>B041 C09</t>
        </is>
      </c>
      <c r="D201" s="15" t="inlineStr">
        <is>
          <t>OK</t>
        </is>
      </c>
      <c r="E201" s="32">
        <f>Settembre!AR45</f>
        <v/>
      </c>
      <c r="F201" s="31">
        <f>IF(AND(ISNUMBER(D201),ISNUMBER(E201)),E201-D201,"")</f>
        <v/>
      </c>
      <c r="G201" s="4">
        <f>IF(AND(D201="",E201=""),"Sì",IF(AND(ISNUMBER(D201),ISNUMBER(E201)),IF(ABS(E201-D201)&lt;=1E-9*MAX(1,ABS(D201)),"Sì","No"),IF(D201=E201,"Sì","No")))</f>
        <v/>
      </c>
    </row>
    <row r="202">
      <c r="A202" s="4" t="inlineStr">
        <is>
          <t>Settembre</t>
        </is>
      </c>
      <c r="B202" s="4" t="inlineStr">
        <is>
          <t>B044 C01</t>
        </is>
      </c>
      <c r="D202" s="15" t="inlineStr">
        <is>
          <t>ERRORE</t>
        </is>
      </c>
      <c r="E202" s="32">
        <f>Settembre!AK48</f>
        <v/>
      </c>
      <c r="F202" s="31">
        <f>IF(AND(ISNUMBER(D202),ISNUMBER(E202)),E202-D202,"")</f>
        <v/>
      </c>
      <c r="G202" s="4">
        <f>IF(AND(D202="",E202=""),"Sì",IF(AND(ISNUMBER(D202),ISNUMBER(E202)),IF(ABS(E202-D202)&lt;=1E-9*MAX(1,ABS(D202)),"Sì","No"),IF(D202=E202,"Sì","No")))</f>
        <v/>
      </c>
    </row>
    <row r="203">
      <c r="A203" s="4" t="inlineStr">
        <is>
          <t>Settembre</t>
        </is>
      </c>
      <c r="B203" s="4" t="inlineStr">
        <is>
          <t>B047 C02</t>
        </is>
      </c>
      <c r="D203" s="15" t="inlineStr">
        <is>
          <t>ERRORE</t>
        </is>
      </c>
      <c r="E203" s="32">
        <f>Settembre!AL51</f>
        <v/>
      </c>
      <c r="F203" s="31">
        <f>IF(AND(ISNUMBER(D203),ISNUMBER(E203)),E203-D203,"")</f>
        <v/>
      </c>
      <c r="G203" s="4">
        <f>IF(AND(D203="",E203=""),"Sì",IF(AND(ISNUMBER(D203),ISNUMBER(E203)),IF(ABS(E203-D203)&lt;=1E-9*MAX(1,ABS(D203)),"Sì","No"),IF(D203=E203,"Sì","No")))</f>
        <v/>
      </c>
    </row>
    <row r="204">
      <c r="A204" s="4" t="inlineStr">
        <is>
          <t>Settembre</t>
        </is>
      </c>
      <c r="B204" s="4" t="inlineStr">
        <is>
          <t>B051 C01</t>
        </is>
      </c>
      <c r="D204" s="15" t="inlineStr">
        <is>
          <t>OK</t>
        </is>
      </c>
      <c r="E204" s="32">
        <f>Settembre!AK55</f>
        <v/>
      </c>
      <c r="F204" s="31">
        <f>IF(AND(ISNUMBER(D204),ISNUMBER(E204)),E204-D204,"")</f>
        <v/>
      </c>
      <c r="G204" s="4">
        <f>IF(AND(D204="",E204=""),"Sì",IF(AND(ISNUMBER(D204),ISNUMBER(E204)),IF(ABS(E204-D204)&lt;=1E-9*MAX(1,ABS(D204)),"Sì","No"),IF(D204=E204,"Sì","No")))</f>
        <v/>
      </c>
    </row>
    <row r="205">
      <c r="A205" s="4" t="inlineStr">
        <is>
          <t>Settembre</t>
        </is>
      </c>
      <c r="B205" s="4" t="inlineStr">
        <is>
          <t>B051 C02</t>
        </is>
      </c>
      <c r="D205" s="15" t="inlineStr">
        <is>
          <t>OK</t>
        </is>
      </c>
      <c r="E205" s="32">
        <f>Settembre!AL55</f>
        <v/>
      </c>
      <c r="F205" s="31">
        <f>IF(AND(ISNUMBER(D205),ISNUMBER(E205)),E205-D205,"")</f>
        <v/>
      </c>
      <c r="G205" s="4">
        <f>IF(AND(D205="",E205=""),"Sì",IF(AND(ISNUMBER(D205),ISNUMBER(E205)),IF(ABS(E205-D205)&lt;=1E-9*MAX(1,ABS(D205)),"Sì","No"),IF(D205=E205,"Sì","No")))</f>
        <v/>
      </c>
    </row>
    <row r="206">
      <c r="A206" s="4" t="inlineStr">
        <is>
          <t>Settembre</t>
        </is>
      </c>
      <c r="B206" s="4" t="inlineStr">
        <is>
          <t>B051 C03</t>
        </is>
      </c>
      <c r="D206" s="15" t="inlineStr">
        <is>
          <t>OK</t>
        </is>
      </c>
      <c r="E206" s="32">
        <f>Settembre!AM55</f>
        <v/>
      </c>
      <c r="F206" s="31">
        <f>IF(AND(ISNUMBER(D206),ISNUMBER(E206)),E206-D206,"")</f>
        <v/>
      </c>
      <c r="G206" s="4">
        <f>IF(AND(D206="",E206=""),"Sì",IF(AND(ISNUMBER(D206),ISNUMBER(E206)),IF(ABS(E206-D206)&lt;=1E-9*MAX(1,ABS(D206)),"Sì","No"),IF(D206=E206,"Sì","No")))</f>
        <v/>
      </c>
    </row>
    <row r="207">
      <c r="A207" s="4" t="inlineStr">
        <is>
          <t>Settembre</t>
        </is>
      </c>
      <c r="B207" s="4" t="inlineStr">
        <is>
          <t>B051 C04</t>
        </is>
      </c>
      <c r="D207" s="15" t="inlineStr">
        <is>
          <t>OK</t>
        </is>
      </c>
      <c r="E207" s="32">
        <f>Settembre!AN55</f>
        <v/>
      </c>
      <c r="F207" s="31">
        <f>IF(AND(ISNUMBER(D207),ISNUMBER(E207)),E207-D207,"")</f>
        <v/>
      </c>
      <c r="G207" s="4">
        <f>IF(AND(D207="",E207=""),"Sì",IF(AND(ISNUMBER(D207),ISNUMBER(E207)),IF(ABS(E207-D207)&lt;=1E-9*MAX(1,ABS(D207)),"Sì","No"),IF(D207=E207,"Sì","No")))</f>
        <v/>
      </c>
    </row>
    <row r="208">
      <c r="A208" s="4" t="inlineStr">
        <is>
          <t>Settembre</t>
        </is>
      </c>
      <c r="B208" s="4" t="inlineStr">
        <is>
          <t>B051 C05</t>
        </is>
      </c>
      <c r="D208" s="15" t="inlineStr">
        <is>
          <t>OK</t>
        </is>
      </c>
      <c r="E208" s="32">
        <f>Settembre!AO55</f>
        <v/>
      </c>
      <c r="F208" s="31">
        <f>IF(AND(ISNUMBER(D208),ISNUMBER(E208)),E208-D208,"")</f>
        <v/>
      </c>
      <c r="G208" s="4">
        <f>IF(AND(D208="",E208=""),"Sì",IF(AND(ISNUMBER(D208),ISNUMBER(E208)),IF(ABS(E208-D208)&lt;=1E-9*MAX(1,ABS(D208)),"Sì","No"),IF(D208=E208,"Sì","No")))</f>
        <v/>
      </c>
    </row>
    <row r="209">
      <c r="A209" s="4" t="inlineStr">
        <is>
          <t>Settembre</t>
        </is>
      </c>
      <c r="B209" s="4" t="inlineStr">
        <is>
          <t>B051 C06</t>
        </is>
      </c>
      <c r="D209" s="15" t="inlineStr">
        <is>
          <t>OK</t>
        </is>
      </c>
      <c r="E209" s="32">
        <f>Settembre!AP55</f>
        <v/>
      </c>
      <c r="F209" s="31">
        <f>IF(AND(ISNUMBER(D209),ISNUMBER(E209)),E209-D209,"")</f>
        <v/>
      </c>
      <c r="G209" s="4">
        <f>IF(AND(D209="",E209=""),"Sì",IF(AND(ISNUMBER(D209),ISNUMBER(E209)),IF(ABS(E209-D209)&lt;=1E-9*MAX(1,ABS(D209)),"Sì","No"),IF(D209=E209,"Sì","No")))</f>
        <v/>
      </c>
    </row>
    <row r="210">
      <c r="A210" s="4" t="inlineStr">
        <is>
          <t>Settembre</t>
        </is>
      </c>
      <c r="B210" s="4" t="inlineStr">
        <is>
          <t>B051 C07</t>
        </is>
      </c>
      <c r="D210" s="15" t="inlineStr">
        <is>
          <t>OK</t>
        </is>
      </c>
      <c r="E210" s="32">
        <f>Settembre!AQ55</f>
        <v/>
      </c>
      <c r="F210" s="31">
        <f>IF(AND(ISNUMBER(D210),ISNUMBER(E210)),E210-D210,"")</f>
        <v/>
      </c>
      <c r="G210" s="4">
        <f>IF(AND(D210="",E210=""),"Sì",IF(AND(ISNUMBER(D210),ISNUMBER(E210)),IF(ABS(E210-D210)&lt;=1E-9*MAX(1,ABS(D210)),"Sì","No"),IF(D210=E210,"Sì","No")))</f>
        <v/>
      </c>
    </row>
    <row r="211">
      <c r="A211" s="4" t="inlineStr">
        <is>
          <t>Settembre</t>
        </is>
      </c>
      <c r="B211" s="4" t="inlineStr">
        <is>
          <t>B051 C09</t>
        </is>
      </c>
      <c r="D211" s="15" t="inlineStr">
        <is>
          <t>OK</t>
        </is>
      </c>
      <c r="E211" s="32">
        <f>Settembre!AR55</f>
        <v/>
      </c>
      <c r="F211" s="31">
        <f>IF(AND(ISNUMBER(D211),ISNUMBER(E211)),E211-D211,"")</f>
        <v/>
      </c>
      <c r="G211" s="4">
        <f>IF(AND(D211="",E211=""),"Sì",IF(AND(ISNUMBER(D211),ISNUMBER(E211)),IF(ABS(E211-D211)&lt;=1E-9*MAX(1,ABS(D211)),"Sì","No"),IF(D211=E211,"Sì","No")))</f>
        <v/>
      </c>
    </row>
    <row r="212">
      <c r="A212" s="4" t="inlineStr">
        <is>
          <t>Settembre</t>
        </is>
      </c>
      <c r="B212" s="4" t="inlineStr">
        <is>
          <t>B052 C01</t>
        </is>
      </c>
      <c r="D212" s="15" t="inlineStr">
        <is>
          <t>ERRORE</t>
        </is>
      </c>
      <c r="E212" s="32">
        <f>Settembre!AK56</f>
        <v/>
      </c>
      <c r="F212" s="31">
        <f>IF(AND(ISNUMBER(D212),ISNUMBER(E212)),E212-D212,"")</f>
        <v/>
      </c>
      <c r="G212" s="4">
        <f>IF(AND(D212="",E212=""),"Sì",IF(AND(ISNUMBER(D212),ISNUMBER(E212)),IF(ABS(E212-D212)&lt;=1E-9*MAX(1,ABS(D212)),"Sì","No"),IF(D212=E212,"Sì","No")))</f>
        <v/>
      </c>
    </row>
    <row r="213">
      <c r="A213" s="4" t="inlineStr">
        <is>
          <t>Settembre</t>
        </is>
      </c>
      <c r="B213" s="4" t="inlineStr">
        <is>
          <t>B055 C05</t>
        </is>
      </c>
      <c r="D213" s="15" t="inlineStr">
        <is>
          <t>ERRORE</t>
        </is>
      </c>
      <c r="E213" s="32">
        <f>Settembre!AO59</f>
        <v/>
      </c>
      <c r="F213" s="31">
        <f>IF(AND(ISNUMBER(D213),ISNUMBER(E213)),E213-D213,"")</f>
        <v/>
      </c>
      <c r="G213" s="4">
        <f>IF(AND(D213="",E213=""),"Sì",IF(AND(ISNUMBER(D213),ISNUMBER(E213)),IF(ABS(E213-D213)&lt;=1E-9*MAX(1,ABS(D213)),"Sì","No"),IF(D213=E213,"Sì","No")))</f>
        <v/>
      </c>
    </row>
    <row r="214">
      <c r="A214" s="4" t="inlineStr">
        <is>
          <t>Settembre</t>
        </is>
      </c>
      <c r="B214" s="4" t="inlineStr">
        <is>
          <t>B058 C09</t>
        </is>
      </c>
      <c r="D214" s="15" t="inlineStr">
        <is>
          <t>ERRORE</t>
        </is>
      </c>
      <c r="E214" s="32">
        <f>Settembre!AR62</f>
        <v/>
      </c>
      <c r="F214" s="31">
        <f>IF(AND(ISNUMBER(D214),ISNUMBER(E214)),E214-D214,"")</f>
        <v/>
      </c>
      <c r="G214" s="4">
        <f>IF(AND(D214="",E214=""),"Sì",IF(AND(ISNUMBER(D214),ISNUMBER(E214)),IF(ABS(E214-D214)&lt;=1E-9*MAX(1,ABS(D214)),"Sì","No"),IF(D214=E214,"Sì","No")))</f>
        <v/>
      </c>
    </row>
    <row r="215">
      <c r="A215" s="4" t="inlineStr">
        <is>
          <t>Settembre</t>
        </is>
      </c>
      <c r="B215" s="4" t="inlineStr">
        <is>
          <t>B059 C04</t>
        </is>
      </c>
      <c r="D215" s="15" t="inlineStr">
        <is>
          <t>ERRORE</t>
        </is>
      </c>
      <c r="E215" s="32">
        <f>Settembre!AN63</f>
        <v/>
      </c>
      <c r="F215" s="31">
        <f>IF(AND(ISNUMBER(D215),ISNUMBER(E215)),E215-D215,"")</f>
        <v/>
      </c>
      <c r="G215" s="4">
        <f>IF(AND(D215="",E215=""),"Sì",IF(AND(ISNUMBER(D215),ISNUMBER(E215)),IF(ABS(E215-D215)&lt;=1E-9*MAX(1,ABS(D215)),"Sì","No"),IF(D215=E215,"Sì","No")))</f>
        <v/>
      </c>
    </row>
    <row r="216">
      <c r="A216" s="4" t="inlineStr">
        <is>
          <t>Settembre</t>
        </is>
      </c>
      <c r="B216" s="4" t="inlineStr">
        <is>
          <t>B061 C01</t>
        </is>
      </c>
      <c r="D216" s="15" t="inlineStr">
        <is>
          <t>OK</t>
        </is>
      </c>
      <c r="E216" s="32">
        <f>Settembre!AK65</f>
        <v/>
      </c>
      <c r="F216" s="31">
        <f>IF(AND(ISNUMBER(D216),ISNUMBER(E216)),E216-D216,"")</f>
        <v/>
      </c>
      <c r="G216" s="4">
        <f>IF(AND(D216="",E216=""),"Sì",IF(AND(ISNUMBER(D216),ISNUMBER(E216)),IF(ABS(E216-D216)&lt;=1E-9*MAX(1,ABS(D216)),"Sì","No"),IF(D216=E216,"Sì","No")))</f>
        <v/>
      </c>
    </row>
    <row r="217">
      <c r="A217" s="4" t="inlineStr">
        <is>
          <t>Settembre</t>
        </is>
      </c>
      <c r="B217" s="4" t="inlineStr">
        <is>
          <t>B061 C02</t>
        </is>
      </c>
      <c r="D217" s="15" t="inlineStr">
        <is>
          <t>OK</t>
        </is>
      </c>
      <c r="E217" s="32">
        <f>Settembre!AL65</f>
        <v/>
      </c>
      <c r="F217" s="31">
        <f>IF(AND(ISNUMBER(D217),ISNUMBER(E217)),E217-D217,"")</f>
        <v/>
      </c>
      <c r="G217" s="4">
        <f>IF(AND(D217="",E217=""),"Sì",IF(AND(ISNUMBER(D217),ISNUMBER(E217)),IF(ABS(E217-D217)&lt;=1E-9*MAX(1,ABS(D217)),"Sì","No"),IF(D217=E217,"Sì","No")))</f>
        <v/>
      </c>
    </row>
    <row r="218">
      <c r="A218" s="4" t="inlineStr">
        <is>
          <t>Settembre</t>
        </is>
      </c>
      <c r="B218" s="4" t="inlineStr">
        <is>
          <t>B061 C03</t>
        </is>
      </c>
      <c r="D218" s="15" t="inlineStr">
        <is>
          <t>OK</t>
        </is>
      </c>
      <c r="E218" s="32">
        <f>Settembre!AM65</f>
        <v/>
      </c>
      <c r="F218" s="31">
        <f>IF(AND(ISNUMBER(D218),ISNUMBER(E218)),E218-D218,"")</f>
        <v/>
      </c>
      <c r="G218" s="4">
        <f>IF(AND(D218="",E218=""),"Sì",IF(AND(ISNUMBER(D218),ISNUMBER(E218)),IF(ABS(E218-D218)&lt;=1E-9*MAX(1,ABS(D218)),"Sì","No"),IF(D218=E218,"Sì","No")))</f>
        <v/>
      </c>
    </row>
    <row r="219">
      <c r="A219" s="4" t="inlineStr">
        <is>
          <t>Settembre</t>
        </is>
      </c>
      <c r="B219" s="4" t="inlineStr">
        <is>
          <t>B061 C04</t>
        </is>
      </c>
      <c r="D219" s="15" t="inlineStr">
        <is>
          <t>OK</t>
        </is>
      </c>
      <c r="E219" s="32">
        <f>Settembre!AN65</f>
        <v/>
      </c>
      <c r="F219" s="31">
        <f>IF(AND(ISNUMBER(D219),ISNUMBER(E219)),E219-D219,"")</f>
        <v/>
      </c>
      <c r="G219" s="4">
        <f>IF(AND(D219="",E219=""),"Sì",IF(AND(ISNUMBER(D219),ISNUMBER(E219)),IF(ABS(E219-D219)&lt;=1E-9*MAX(1,ABS(D219)),"Sì","No"),IF(D219=E219,"Sì","No")))</f>
        <v/>
      </c>
    </row>
    <row r="220">
      <c r="A220" s="4" t="inlineStr">
        <is>
          <t>Settembre</t>
        </is>
      </c>
      <c r="B220" s="4" t="inlineStr">
        <is>
          <t>B061 C05</t>
        </is>
      </c>
      <c r="D220" s="15" t="inlineStr">
        <is>
          <t>OK</t>
        </is>
      </c>
      <c r="E220" s="32">
        <f>Settembre!AO65</f>
        <v/>
      </c>
      <c r="F220" s="31">
        <f>IF(AND(ISNUMBER(D220),ISNUMBER(E220)),E220-D220,"")</f>
        <v/>
      </c>
      <c r="G220" s="4">
        <f>IF(AND(D220="",E220=""),"Sì",IF(AND(ISNUMBER(D220),ISNUMBER(E220)),IF(ABS(E220-D220)&lt;=1E-9*MAX(1,ABS(D220)),"Sì","No"),IF(D220=E220,"Sì","No")))</f>
        <v/>
      </c>
    </row>
    <row r="221">
      <c r="A221" s="4" t="inlineStr">
        <is>
          <t>Settembre</t>
        </is>
      </c>
      <c r="B221" s="4" t="inlineStr">
        <is>
          <t>B061 C06</t>
        </is>
      </c>
      <c r="D221" s="15" t="inlineStr">
        <is>
          <t>OK</t>
        </is>
      </c>
      <c r="E221" s="32">
        <f>Settembre!AP65</f>
        <v/>
      </c>
      <c r="F221" s="31">
        <f>IF(AND(ISNUMBER(D221),ISNUMBER(E221)),E221-D221,"")</f>
        <v/>
      </c>
      <c r="G221" s="4">
        <f>IF(AND(D221="",E221=""),"Sì",IF(AND(ISNUMBER(D221),ISNUMBER(E221)),IF(ABS(E221-D221)&lt;=1E-9*MAX(1,ABS(D221)),"Sì","No"),IF(D221=E221,"Sì","No")))</f>
        <v/>
      </c>
    </row>
    <row r="222">
      <c r="A222" s="4" t="inlineStr">
        <is>
          <t>Settembre</t>
        </is>
      </c>
      <c r="B222" s="4" t="inlineStr">
        <is>
          <t>B061 C07</t>
        </is>
      </c>
      <c r="D222" s="15" t="inlineStr">
        <is>
          <t>OK</t>
        </is>
      </c>
      <c r="E222" s="32">
        <f>Settembre!AQ65</f>
        <v/>
      </c>
      <c r="F222" s="31">
        <f>IF(AND(ISNUMBER(D222),ISNUMBER(E222)),E222-D222,"")</f>
        <v/>
      </c>
      <c r="G222" s="4">
        <f>IF(AND(D222="",E222=""),"Sì",IF(AND(ISNUMBER(D222),ISNUMBER(E222)),IF(ABS(E222-D222)&lt;=1E-9*MAX(1,ABS(D222)),"Sì","No"),IF(D222=E222,"Sì","No")))</f>
        <v/>
      </c>
    </row>
    <row r="223">
      <c r="A223" s="4" t="inlineStr">
        <is>
          <t>Settembre</t>
        </is>
      </c>
      <c r="B223" s="4" t="inlineStr">
        <is>
          <t>B061 C09</t>
        </is>
      </c>
      <c r="D223" s="15" t="inlineStr">
        <is>
          <t>OK</t>
        </is>
      </c>
      <c r="E223" s="32">
        <f>Settembre!AR65</f>
        <v/>
      </c>
      <c r="F223" s="31">
        <f>IF(AND(ISNUMBER(D223),ISNUMBER(E223)),E223-D223,"")</f>
        <v/>
      </c>
      <c r="G223" s="4">
        <f>IF(AND(D223="",E223=""),"Sì",IF(AND(ISNUMBER(D223),ISNUMBER(E223)),IF(ABS(E223-D223)&lt;=1E-9*MAX(1,ABS(D223)),"Sì","No"),IF(D223=E223,"Sì","No")))</f>
        <v/>
      </c>
    </row>
    <row r="224">
      <c r="A224" s="4" t="inlineStr">
        <is>
          <t>Settembre</t>
        </is>
      </c>
      <c r="B224" s="4" t="inlineStr">
        <is>
          <t>B064 C01</t>
        </is>
      </c>
      <c r="D224" s="15" t="inlineStr">
        <is>
          <t>ERRORE</t>
        </is>
      </c>
      <c r="E224" s="32">
        <f>Settembre!AK68</f>
        <v/>
      </c>
      <c r="F224" s="31">
        <f>IF(AND(ISNUMBER(D224),ISNUMBER(E224)),E224-D224,"")</f>
        <v/>
      </c>
      <c r="G224" s="4">
        <f>IF(AND(D224="",E224=""),"Sì",IF(AND(ISNUMBER(D224),ISNUMBER(E224)),IF(ABS(E224-D224)&lt;=1E-9*MAX(1,ABS(D224)),"Sì","No"),IF(D224=E224,"Sì","No")))</f>
        <v/>
      </c>
    </row>
    <row r="225">
      <c r="A225" s="4" t="inlineStr">
        <is>
          <t>Settembre</t>
        </is>
      </c>
      <c r="B225" s="4" t="inlineStr">
        <is>
          <t>B071 C01</t>
        </is>
      </c>
      <c r="D225" s="15" t="inlineStr">
        <is>
          <t>OK</t>
        </is>
      </c>
      <c r="E225" s="32">
        <f>Settembre!AK75</f>
        <v/>
      </c>
      <c r="F225" s="31">
        <f>IF(AND(ISNUMBER(D225),ISNUMBER(E225)),E225-D225,"")</f>
        <v/>
      </c>
      <c r="G225" s="4">
        <f>IF(AND(D225="",E225=""),"Sì",IF(AND(ISNUMBER(D225),ISNUMBER(E225)),IF(ABS(E225-D225)&lt;=1E-9*MAX(1,ABS(D225)),"Sì","No"),IF(D225=E225,"Sì","No")))</f>
        <v/>
      </c>
    </row>
    <row r="226">
      <c r="A226" s="4" t="inlineStr">
        <is>
          <t>Settembre</t>
        </is>
      </c>
      <c r="B226" s="4" t="inlineStr">
        <is>
          <t>B071 C02</t>
        </is>
      </c>
      <c r="D226" s="15" t="inlineStr">
        <is>
          <t>OK</t>
        </is>
      </c>
      <c r="E226" s="32">
        <f>Settembre!AL75</f>
        <v/>
      </c>
      <c r="F226" s="31">
        <f>IF(AND(ISNUMBER(D226),ISNUMBER(E226)),E226-D226,"")</f>
        <v/>
      </c>
      <c r="G226" s="4">
        <f>IF(AND(D226="",E226=""),"Sì",IF(AND(ISNUMBER(D226),ISNUMBER(E226)),IF(ABS(E226-D226)&lt;=1E-9*MAX(1,ABS(D226)),"Sì","No"),IF(D226=E226,"Sì","No")))</f>
        <v/>
      </c>
    </row>
    <row r="227">
      <c r="A227" s="4" t="inlineStr">
        <is>
          <t>Settembre</t>
        </is>
      </c>
      <c r="B227" s="4" t="inlineStr">
        <is>
          <t>B071 C03</t>
        </is>
      </c>
      <c r="D227" s="15" t="inlineStr">
        <is>
          <t>OK</t>
        </is>
      </c>
      <c r="E227" s="32">
        <f>Settembre!AM75</f>
        <v/>
      </c>
      <c r="F227" s="31">
        <f>IF(AND(ISNUMBER(D227),ISNUMBER(E227)),E227-D227,"")</f>
        <v/>
      </c>
      <c r="G227" s="4">
        <f>IF(AND(D227="",E227=""),"Sì",IF(AND(ISNUMBER(D227),ISNUMBER(E227)),IF(ABS(E227-D227)&lt;=1E-9*MAX(1,ABS(D227)),"Sì","No"),IF(D227=E227,"Sì","No")))</f>
        <v/>
      </c>
    </row>
    <row r="228">
      <c r="A228" s="4" t="inlineStr">
        <is>
          <t>Settembre</t>
        </is>
      </c>
      <c r="B228" s="4" t="inlineStr">
        <is>
          <t>B071 C04</t>
        </is>
      </c>
      <c r="D228" s="15" t="inlineStr">
        <is>
          <t>OK</t>
        </is>
      </c>
      <c r="E228" s="32">
        <f>Settembre!AN75</f>
        <v/>
      </c>
      <c r="F228" s="31">
        <f>IF(AND(ISNUMBER(D228),ISNUMBER(E228)),E228-D228,"")</f>
        <v/>
      </c>
      <c r="G228" s="4">
        <f>IF(AND(D228="",E228=""),"Sì",IF(AND(ISNUMBER(D228),ISNUMBER(E228)),IF(ABS(E228-D228)&lt;=1E-9*MAX(1,ABS(D228)),"Sì","No"),IF(D228=E228,"Sì","No")))</f>
        <v/>
      </c>
    </row>
    <row r="229">
      <c r="A229" s="4" t="inlineStr">
        <is>
          <t>Settembre</t>
        </is>
      </c>
      <c r="B229" s="4" t="inlineStr">
        <is>
          <t>B071 C05</t>
        </is>
      </c>
      <c r="D229" s="15" t="inlineStr">
        <is>
          <t>OK</t>
        </is>
      </c>
      <c r="E229" s="32">
        <f>Settembre!AO75</f>
        <v/>
      </c>
      <c r="F229" s="31">
        <f>IF(AND(ISNUMBER(D229),ISNUMBER(E229)),E229-D229,"")</f>
        <v/>
      </c>
      <c r="G229" s="4">
        <f>IF(AND(D229="",E229=""),"Sì",IF(AND(ISNUMBER(D229),ISNUMBER(E229)),IF(ABS(E229-D229)&lt;=1E-9*MAX(1,ABS(D229)),"Sì","No"),IF(D229=E229,"Sì","No")))</f>
        <v/>
      </c>
    </row>
    <row r="230">
      <c r="A230" s="4" t="inlineStr">
        <is>
          <t>Settembre</t>
        </is>
      </c>
      <c r="B230" s="4" t="inlineStr">
        <is>
          <t>B071 C06</t>
        </is>
      </c>
      <c r="D230" s="15" t="inlineStr">
        <is>
          <t>OK</t>
        </is>
      </c>
      <c r="E230" s="32">
        <f>Settembre!AP75</f>
        <v/>
      </c>
      <c r="F230" s="31">
        <f>IF(AND(ISNUMBER(D230),ISNUMBER(E230)),E230-D230,"")</f>
        <v/>
      </c>
      <c r="G230" s="4">
        <f>IF(AND(D230="",E230=""),"Sì",IF(AND(ISNUMBER(D230),ISNUMBER(E230)),IF(ABS(E230-D230)&lt;=1E-9*MAX(1,ABS(D230)),"Sì","No"),IF(D230=E230,"Sì","No")))</f>
        <v/>
      </c>
    </row>
    <row r="231">
      <c r="A231" s="4" t="inlineStr">
        <is>
          <t>Settembre</t>
        </is>
      </c>
      <c r="B231" s="4" t="inlineStr">
        <is>
          <t>B071 C07</t>
        </is>
      </c>
      <c r="D231" s="15" t="inlineStr">
        <is>
          <t>OK</t>
        </is>
      </c>
      <c r="E231" s="32">
        <f>Settembre!AQ75</f>
        <v/>
      </c>
      <c r="F231" s="31">
        <f>IF(AND(ISNUMBER(D231),ISNUMBER(E231)),E231-D231,"")</f>
        <v/>
      </c>
      <c r="G231" s="4">
        <f>IF(AND(D231="",E231=""),"Sì",IF(AND(ISNUMBER(D231),ISNUMBER(E231)),IF(ABS(E231-D231)&lt;=1E-9*MAX(1,ABS(D231)),"Sì","No"),IF(D231=E231,"Sì","No")))</f>
        <v/>
      </c>
    </row>
    <row r="232">
      <c r="A232" s="4" t="inlineStr">
        <is>
          <t>Settembre</t>
        </is>
      </c>
      <c r="B232" s="4" t="inlineStr">
        <is>
          <t>B071 C09</t>
        </is>
      </c>
      <c r="D232" s="15" t="inlineStr">
        <is>
          <t>OK</t>
        </is>
      </c>
      <c r="E232" s="32">
        <f>Settembre!AR75</f>
        <v/>
      </c>
      <c r="F232" s="31">
        <f>IF(AND(ISNUMBER(D232),ISNUMBER(E232)),E232-D232,"")</f>
        <v/>
      </c>
      <c r="G232" s="4">
        <f>IF(AND(D232="",E232=""),"Sì",IF(AND(ISNUMBER(D232),ISNUMBER(E232)),IF(ABS(E232-D232)&lt;=1E-9*MAX(1,ABS(D232)),"Sì","No"),IF(D232=E232,"Sì","No")))</f>
        <v/>
      </c>
    </row>
    <row r="233">
      <c r="A233" s="4" t="inlineStr">
        <is>
          <t>Settembre</t>
        </is>
      </c>
      <c r="B233" s="4" t="inlineStr">
        <is>
          <t>B081 C01</t>
        </is>
      </c>
      <c r="D233" s="15" t="inlineStr">
        <is>
          <t>OK</t>
        </is>
      </c>
      <c r="E233" s="32">
        <f>Settembre!AK85</f>
        <v/>
      </c>
      <c r="F233" s="31">
        <f>IF(AND(ISNUMBER(D233),ISNUMBER(E233)),E233-D233,"")</f>
        <v/>
      </c>
      <c r="G233" s="4">
        <f>IF(AND(D233="",E233=""),"Sì",IF(AND(ISNUMBER(D233),ISNUMBER(E233)),IF(ABS(E233-D233)&lt;=1E-9*MAX(1,ABS(D233)),"Sì","No"),IF(D233=E233,"Sì","No")))</f>
        <v/>
      </c>
    </row>
    <row r="234">
      <c r="A234" s="4" t="inlineStr">
        <is>
          <t>Settembre</t>
        </is>
      </c>
      <c r="B234" s="4" t="inlineStr">
        <is>
          <t>B081 C02</t>
        </is>
      </c>
      <c r="D234" s="15" t="inlineStr">
        <is>
          <t>OK</t>
        </is>
      </c>
      <c r="E234" s="32">
        <f>Settembre!AL85</f>
        <v/>
      </c>
      <c r="F234" s="31">
        <f>IF(AND(ISNUMBER(D234),ISNUMBER(E234)),E234-D234,"")</f>
        <v/>
      </c>
      <c r="G234" s="4">
        <f>IF(AND(D234="",E234=""),"Sì",IF(AND(ISNUMBER(D234),ISNUMBER(E234)),IF(ABS(E234-D234)&lt;=1E-9*MAX(1,ABS(D234)),"Sì","No"),IF(D234=E234,"Sì","No")))</f>
        <v/>
      </c>
    </row>
    <row r="235">
      <c r="A235" s="4" t="inlineStr">
        <is>
          <t>Settembre</t>
        </is>
      </c>
      <c r="B235" s="4" t="inlineStr">
        <is>
          <t>B081 C03</t>
        </is>
      </c>
      <c r="D235" s="15" t="inlineStr">
        <is>
          <t>OK</t>
        </is>
      </c>
      <c r="E235" s="32">
        <f>Settembre!AM85</f>
        <v/>
      </c>
      <c r="F235" s="31">
        <f>IF(AND(ISNUMBER(D235),ISNUMBER(E235)),E235-D235,"")</f>
        <v/>
      </c>
      <c r="G235" s="4">
        <f>IF(AND(D235="",E235=""),"Sì",IF(AND(ISNUMBER(D235),ISNUMBER(E235)),IF(ABS(E235-D235)&lt;=1E-9*MAX(1,ABS(D235)),"Sì","No"),IF(D235=E235,"Sì","No")))</f>
        <v/>
      </c>
    </row>
    <row r="236">
      <c r="A236" s="4" t="inlineStr">
        <is>
          <t>Settembre</t>
        </is>
      </c>
      <c r="B236" s="4" t="inlineStr">
        <is>
          <t>B081 C04</t>
        </is>
      </c>
      <c r="D236" s="15" t="inlineStr">
        <is>
          <t>OK</t>
        </is>
      </c>
      <c r="E236" s="32">
        <f>Settembre!AN85</f>
        <v/>
      </c>
      <c r="F236" s="31">
        <f>IF(AND(ISNUMBER(D236),ISNUMBER(E236)),E236-D236,"")</f>
        <v/>
      </c>
      <c r="G236" s="4">
        <f>IF(AND(D236="",E236=""),"Sì",IF(AND(ISNUMBER(D236),ISNUMBER(E236)),IF(ABS(E236-D236)&lt;=1E-9*MAX(1,ABS(D236)),"Sì","No"),IF(D236=E236,"Sì","No")))</f>
        <v/>
      </c>
    </row>
    <row r="237">
      <c r="A237" s="4" t="inlineStr">
        <is>
          <t>Settembre</t>
        </is>
      </c>
      <c r="B237" s="4" t="inlineStr">
        <is>
          <t>B081 C05</t>
        </is>
      </c>
      <c r="D237" s="15" t="inlineStr">
        <is>
          <t>OK</t>
        </is>
      </c>
      <c r="E237" s="32">
        <f>Settembre!AO85</f>
        <v/>
      </c>
      <c r="F237" s="31">
        <f>IF(AND(ISNUMBER(D237),ISNUMBER(E237)),E237-D237,"")</f>
        <v/>
      </c>
      <c r="G237" s="4">
        <f>IF(AND(D237="",E237=""),"Sì",IF(AND(ISNUMBER(D237),ISNUMBER(E237)),IF(ABS(E237-D237)&lt;=1E-9*MAX(1,ABS(D237)),"Sì","No"),IF(D237=E237,"Sì","No")))</f>
        <v/>
      </c>
    </row>
    <row r="238">
      <c r="A238" s="4" t="inlineStr">
        <is>
          <t>Settembre</t>
        </is>
      </c>
      <c r="B238" s="4" t="inlineStr">
        <is>
          <t>B081 C06</t>
        </is>
      </c>
      <c r="D238" s="15" t="inlineStr">
        <is>
          <t>OK</t>
        </is>
      </c>
      <c r="E238" s="32">
        <f>Settembre!AP85</f>
        <v/>
      </c>
      <c r="F238" s="31">
        <f>IF(AND(ISNUMBER(D238),ISNUMBER(E238)),E238-D238,"")</f>
        <v/>
      </c>
      <c r="G238" s="4">
        <f>IF(AND(D238="",E238=""),"Sì",IF(AND(ISNUMBER(D238),ISNUMBER(E238)),IF(ABS(E238-D238)&lt;=1E-9*MAX(1,ABS(D238)),"Sì","No"),IF(D238=E238,"Sì","No")))</f>
        <v/>
      </c>
    </row>
    <row r="239">
      <c r="A239" s="4" t="inlineStr">
        <is>
          <t>Settembre</t>
        </is>
      </c>
      <c r="B239" s="4" t="inlineStr">
        <is>
          <t>B081 C07</t>
        </is>
      </c>
      <c r="D239" s="15" t="inlineStr">
        <is>
          <t>OK</t>
        </is>
      </c>
      <c r="E239" s="32">
        <f>Settembre!AQ85</f>
        <v/>
      </c>
      <c r="F239" s="31">
        <f>IF(AND(ISNUMBER(D239),ISNUMBER(E239)),E239-D239,"")</f>
        <v/>
      </c>
      <c r="G239" s="4">
        <f>IF(AND(D239="",E239=""),"Sì",IF(AND(ISNUMBER(D239),ISNUMBER(E239)),IF(ABS(E239-D239)&lt;=1E-9*MAX(1,ABS(D239)),"Sì","No"),IF(D239=E239,"Sì","No")))</f>
        <v/>
      </c>
    </row>
    <row r="240">
      <c r="A240" s="4" t="inlineStr">
        <is>
          <t>Settembre</t>
        </is>
      </c>
      <c r="B240" s="4" t="inlineStr">
        <is>
          <t>B081 C09</t>
        </is>
      </c>
      <c r="D240" s="15" t="inlineStr">
        <is>
          <t>OK</t>
        </is>
      </c>
      <c r="E240" s="32">
        <f>Settembre!AR85</f>
        <v/>
      </c>
      <c r="F240" s="31">
        <f>IF(AND(ISNUMBER(D240),ISNUMBER(E240)),E240-D240,"")</f>
        <v/>
      </c>
      <c r="G240" s="4">
        <f>IF(AND(D240="",E240=""),"Sì",IF(AND(ISNUMBER(D240),ISNUMBER(E240)),IF(ABS(E240-D240)&lt;=1E-9*MAX(1,ABS(D240)),"Sì","No"),IF(D240=E240,"Sì","No")))</f>
        <v/>
      </c>
    </row>
    <row r="241">
      <c r="A241" s="4" t="inlineStr">
        <is>
          <t>Settembre</t>
        </is>
      </c>
      <c r="B241" s="4" t="inlineStr">
        <is>
          <t>B082 C01</t>
        </is>
      </c>
      <c r="D241" s="15" t="inlineStr">
        <is>
          <t>ERRORE</t>
        </is>
      </c>
      <c r="E241" s="32">
        <f>Settembre!AK86</f>
        <v/>
      </c>
      <c r="F241" s="31">
        <f>IF(AND(ISNUMBER(D241),ISNUMBER(E241)),E241-D241,"")</f>
        <v/>
      </c>
      <c r="G241" s="4">
        <f>IF(AND(D241="",E241=""),"Sì",IF(AND(ISNUMBER(D241),ISNUMBER(E241)),IF(ABS(E241-D241)&lt;=1E-9*MAX(1,ABS(D241)),"Sì","No"),IF(D241=E241,"Sì","No")))</f>
        <v/>
      </c>
    </row>
    <row r="242">
      <c r="A242" s="4" t="inlineStr">
        <is>
          <t>Settembre</t>
        </is>
      </c>
      <c r="B242" s="4" t="inlineStr">
        <is>
          <t>B084 C05</t>
        </is>
      </c>
      <c r="D242" s="15" t="inlineStr">
        <is>
          <t>ERRORE</t>
        </is>
      </c>
      <c r="E242" s="32">
        <f>Settembre!AO88</f>
        <v/>
      </c>
      <c r="F242" s="31">
        <f>IF(AND(ISNUMBER(D242),ISNUMBER(E242)),E242-D242,"")</f>
        <v/>
      </c>
      <c r="G242" s="4">
        <f>IF(AND(D242="",E242=""),"Sì",IF(AND(ISNUMBER(D242),ISNUMBER(E242)),IF(ABS(E242-D242)&lt;=1E-9*MAX(1,ABS(D242)),"Sì","No"),IF(D242=E242,"Sì","No")))</f>
        <v/>
      </c>
    </row>
    <row r="243">
      <c r="A243" s="4" t="inlineStr">
        <is>
          <t>Settembre</t>
        </is>
      </c>
      <c r="B243" s="4" t="inlineStr">
        <is>
          <t>B087 C03</t>
        </is>
      </c>
      <c r="D243" s="15" t="inlineStr">
        <is>
          <t>ERRORE</t>
        </is>
      </c>
      <c r="E243" s="32">
        <f>Settembre!AM91</f>
        <v/>
      </c>
      <c r="F243" s="31">
        <f>IF(AND(ISNUMBER(D243),ISNUMBER(E243)),E243-D243,"")</f>
        <v/>
      </c>
      <c r="G243" s="4">
        <f>IF(AND(D243="",E243=""),"Sì",IF(AND(ISNUMBER(D243),ISNUMBER(E243)),IF(ABS(E243-D243)&lt;=1E-9*MAX(1,ABS(D243)),"Sì","No"),IF(D243=E243,"Sì","No")))</f>
        <v/>
      </c>
    </row>
    <row r="244">
      <c r="A244" s="4" t="inlineStr">
        <is>
          <t>Settembre</t>
        </is>
      </c>
      <c r="B244" s="4" t="inlineStr">
        <is>
          <t>B090 C07</t>
        </is>
      </c>
      <c r="D244" s="15" t="inlineStr">
        <is>
          <t>ERRORE</t>
        </is>
      </c>
      <c r="E244" s="32">
        <f>Settembre!AQ94</f>
        <v/>
      </c>
      <c r="F244" s="31">
        <f>IF(AND(ISNUMBER(D244),ISNUMBER(E244)),E244-D244,"")</f>
        <v/>
      </c>
      <c r="G244" s="4">
        <f>IF(AND(D244="",E244=""),"Sì",IF(AND(ISNUMBER(D244),ISNUMBER(E244)),IF(ABS(E244-D244)&lt;=1E-9*MAX(1,ABS(D244)),"Sì","No"),IF(D244=E244,"Sì","No")))</f>
        <v/>
      </c>
    </row>
    <row r="245">
      <c r="A245" s="4" t="inlineStr">
        <is>
          <t>Settembre</t>
        </is>
      </c>
      <c r="B245" s="4" t="inlineStr">
        <is>
          <t>B091 C01</t>
        </is>
      </c>
      <c r="D245" s="15" t="inlineStr">
        <is>
          <t>OK</t>
        </is>
      </c>
      <c r="E245" s="32">
        <f>Settembre!AK95</f>
        <v/>
      </c>
      <c r="F245" s="31">
        <f>IF(AND(ISNUMBER(D245),ISNUMBER(E245)),E245-D245,"")</f>
        <v/>
      </c>
      <c r="G245" s="4">
        <f>IF(AND(D245="",E245=""),"Sì",IF(AND(ISNUMBER(D245),ISNUMBER(E245)),IF(ABS(E245-D245)&lt;=1E-9*MAX(1,ABS(D245)),"Sì","No"),IF(D245=E245,"Sì","No")))</f>
        <v/>
      </c>
    </row>
    <row r="246">
      <c r="A246" s="4" t="inlineStr">
        <is>
          <t>Settembre</t>
        </is>
      </c>
      <c r="B246" s="4" t="inlineStr">
        <is>
          <t>B091 C02</t>
        </is>
      </c>
      <c r="D246" s="15" t="inlineStr">
        <is>
          <t>OK</t>
        </is>
      </c>
      <c r="E246" s="32">
        <f>Settembre!AL95</f>
        <v/>
      </c>
      <c r="F246" s="31">
        <f>IF(AND(ISNUMBER(D246),ISNUMBER(E246)),E246-D246,"")</f>
        <v/>
      </c>
      <c r="G246" s="4">
        <f>IF(AND(D246="",E246=""),"Sì",IF(AND(ISNUMBER(D246),ISNUMBER(E246)),IF(ABS(E246-D246)&lt;=1E-9*MAX(1,ABS(D246)),"Sì","No"),IF(D246=E246,"Sì","No")))</f>
        <v/>
      </c>
    </row>
    <row r="247">
      <c r="A247" s="4" t="inlineStr">
        <is>
          <t>Settembre</t>
        </is>
      </c>
      <c r="B247" s="4" t="inlineStr">
        <is>
          <t>B091 C03</t>
        </is>
      </c>
      <c r="D247" s="15" t="inlineStr">
        <is>
          <t>OK</t>
        </is>
      </c>
      <c r="E247" s="32">
        <f>Settembre!AM95</f>
        <v/>
      </c>
      <c r="F247" s="31">
        <f>IF(AND(ISNUMBER(D247),ISNUMBER(E247)),E247-D247,"")</f>
        <v/>
      </c>
      <c r="G247" s="4">
        <f>IF(AND(D247="",E247=""),"Sì",IF(AND(ISNUMBER(D247),ISNUMBER(E247)),IF(ABS(E247-D247)&lt;=1E-9*MAX(1,ABS(D247)),"Sì","No"),IF(D247=E247,"Sì","No")))</f>
        <v/>
      </c>
    </row>
    <row r="248">
      <c r="A248" s="4" t="inlineStr">
        <is>
          <t>Settembre</t>
        </is>
      </c>
      <c r="B248" s="4" t="inlineStr">
        <is>
          <t>B091 C04</t>
        </is>
      </c>
      <c r="D248" s="15" t="inlineStr">
        <is>
          <t>OK</t>
        </is>
      </c>
      <c r="E248" s="32">
        <f>Settembre!AN95</f>
        <v/>
      </c>
      <c r="F248" s="31">
        <f>IF(AND(ISNUMBER(D248),ISNUMBER(E248)),E248-D248,"")</f>
        <v/>
      </c>
      <c r="G248" s="4">
        <f>IF(AND(D248="",E248=""),"Sì",IF(AND(ISNUMBER(D248),ISNUMBER(E248)),IF(ABS(E248-D248)&lt;=1E-9*MAX(1,ABS(D248)),"Sì","No"),IF(D248=E248,"Sì","No")))</f>
        <v/>
      </c>
    </row>
    <row r="249">
      <c r="A249" s="4" t="inlineStr">
        <is>
          <t>Settembre</t>
        </is>
      </c>
      <c r="B249" s="4" t="inlineStr">
        <is>
          <t>B091 C05</t>
        </is>
      </c>
      <c r="D249" s="15" t="inlineStr">
        <is>
          <t>OK</t>
        </is>
      </c>
      <c r="E249" s="32">
        <f>Settembre!AO95</f>
        <v/>
      </c>
      <c r="F249" s="31">
        <f>IF(AND(ISNUMBER(D249),ISNUMBER(E249)),E249-D249,"")</f>
        <v/>
      </c>
      <c r="G249" s="4">
        <f>IF(AND(D249="",E249=""),"Sì",IF(AND(ISNUMBER(D249),ISNUMBER(E249)),IF(ABS(E249-D249)&lt;=1E-9*MAX(1,ABS(D249)),"Sì","No"),IF(D249=E249,"Sì","No")))</f>
        <v/>
      </c>
    </row>
    <row r="250">
      <c r="A250" s="4" t="inlineStr">
        <is>
          <t>Settembre</t>
        </is>
      </c>
      <c r="B250" s="4" t="inlineStr">
        <is>
          <t>B091 C06</t>
        </is>
      </c>
      <c r="D250" s="15" t="inlineStr">
        <is>
          <t>OK</t>
        </is>
      </c>
      <c r="E250" s="32">
        <f>Settembre!AP95</f>
        <v/>
      </c>
      <c r="F250" s="31">
        <f>IF(AND(ISNUMBER(D250),ISNUMBER(E250)),E250-D250,"")</f>
        <v/>
      </c>
      <c r="G250" s="4">
        <f>IF(AND(D250="",E250=""),"Sì",IF(AND(ISNUMBER(D250),ISNUMBER(E250)),IF(ABS(E250-D250)&lt;=1E-9*MAX(1,ABS(D250)),"Sì","No"),IF(D250=E250,"Sì","No")))</f>
        <v/>
      </c>
    </row>
    <row r="251">
      <c r="A251" s="4" t="inlineStr">
        <is>
          <t>Settembre</t>
        </is>
      </c>
      <c r="B251" s="4" t="inlineStr">
        <is>
          <t>B091 C07</t>
        </is>
      </c>
      <c r="D251" s="15" t="inlineStr">
        <is>
          <t>OK</t>
        </is>
      </c>
      <c r="E251" s="32">
        <f>Settembre!AQ95</f>
        <v/>
      </c>
      <c r="F251" s="31">
        <f>IF(AND(ISNUMBER(D251),ISNUMBER(E251)),E251-D251,"")</f>
        <v/>
      </c>
      <c r="G251" s="4">
        <f>IF(AND(D251="",E251=""),"Sì",IF(AND(ISNUMBER(D251),ISNUMBER(E251)),IF(ABS(E251-D251)&lt;=1E-9*MAX(1,ABS(D251)),"Sì","No"),IF(D251=E251,"Sì","No")))</f>
        <v/>
      </c>
    </row>
    <row r="252">
      <c r="A252" s="4" t="inlineStr">
        <is>
          <t>Settembre</t>
        </is>
      </c>
      <c r="B252" s="4" t="inlineStr">
        <is>
          <t>B091 C09</t>
        </is>
      </c>
      <c r="D252" s="15" t="inlineStr">
        <is>
          <t>OK</t>
        </is>
      </c>
      <c r="E252" s="32">
        <f>Settembre!AR95</f>
        <v/>
      </c>
      <c r="F252" s="31">
        <f>IF(AND(ISNUMBER(D252),ISNUMBER(E252)),E252-D252,"")</f>
        <v/>
      </c>
      <c r="G252" s="4">
        <f>IF(AND(D252="",E252=""),"Sì",IF(AND(ISNUMBER(D252),ISNUMBER(E252)),IF(ABS(E252-D252)&lt;=1E-9*MAX(1,ABS(D252)),"Sì","No"),IF(D252=E252,"Sì","No")))</f>
        <v/>
      </c>
    </row>
    <row r="253">
      <c r="A253" s="4" t="inlineStr">
        <is>
          <t>Settembre</t>
        </is>
      </c>
      <c r="B253" s="4" t="inlineStr">
        <is>
          <t>C093 C06</t>
        </is>
      </c>
      <c r="D253" s="15" t="inlineStr">
        <is>
          <t>ERRORE</t>
        </is>
      </c>
      <c r="E253" s="32">
        <f>Settembre!AP97</f>
        <v/>
      </c>
      <c r="F253" s="31">
        <f>IF(AND(ISNUMBER(D253),ISNUMBER(E253)),E253-D253,"")</f>
        <v/>
      </c>
      <c r="G253" s="4">
        <f>IF(AND(D253="",E253=""),"Sì",IF(AND(ISNUMBER(D253),ISNUMBER(E253)),IF(ABS(E253-D253)&lt;=1E-9*MAX(1,ABS(D253)),"Sì","No"),IF(D253=E253,"Sì","No")))</f>
        <v/>
      </c>
    </row>
    <row r="254">
      <c r="A254" s="4" t="inlineStr">
        <is>
          <t>Settembre</t>
        </is>
      </c>
      <c r="B254" s="4" t="inlineStr">
        <is>
          <t>C098 C03</t>
        </is>
      </c>
      <c r="D254" s="15" t="inlineStr">
        <is>
          <t>ERRORE</t>
        </is>
      </c>
      <c r="E254" s="32">
        <f>Settembre!AM102</f>
        <v/>
      </c>
      <c r="F254" s="31">
        <f>IF(AND(ISNUMBER(D254),ISNUMBER(E254)),E254-D254,"")</f>
        <v/>
      </c>
      <c r="G254" s="4">
        <f>IF(AND(D254="",E254=""),"Sì",IF(AND(ISNUMBER(D254),ISNUMBER(E254)),IF(ABS(E254-D254)&lt;=1E-9*MAX(1,ABS(D254)),"Sì","No"),IF(D254=E254,"Sì","No")))</f>
        <v/>
      </c>
    </row>
    <row r="255">
      <c r="A255" s="4" t="inlineStr">
        <is>
          <t>Settembre</t>
        </is>
      </c>
      <c r="B255" s="4" t="inlineStr">
        <is>
          <t>C099 C07</t>
        </is>
      </c>
      <c r="D255" s="15" t="inlineStr">
        <is>
          <t>ERRORE</t>
        </is>
      </c>
      <c r="E255" s="32">
        <f>Settembre!AQ103</f>
        <v/>
      </c>
      <c r="F255" s="31">
        <f>IF(AND(ISNUMBER(D255),ISNUMBER(E255)),E255-D255,"")</f>
        <v/>
      </c>
      <c r="G255" s="4">
        <f>IF(AND(D255="",E255=""),"Sì",IF(AND(ISNUMBER(D255),ISNUMBER(E255)),IF(ABS(E255-D255)&lt;=1E-9*MAX(1,ABS(D255)),"Sì","No"),IF(D255=E255,"Sì","No")))</f>
        <v/>
      </c>
    </row>
    <row r="256">
      <c r="A256" s="4" t="inlineStr">
        <is>
          <t>Settembre</t>
        </is>
      </c>
      <c r="B256" s="4" t="inlineStr">
        <is>
          <t>C101 C01</t>
        </is>
      </c>
      <c r="D256" s="15" t="inlineStr">
        <is>
          <t>OK</t>
        </is>
      </c>
      <c r="E256" s="32">
        <f>Settembre!AK105</f>
        <v/>
      </c>
      <c r="F256" s="31">
        <f>IF(AND(ISNUMBER(D256),ISNUMBER(E256)),E256-D256,"")</f>
        <v/>
      </c>
      <c r="G256" s="4">
        <f>IF(AND(D256="",E256=""),"Sì",IF(AND(ISNUMBER(D256),ISNUMBER(E256)),IF(ABS(E256-D256)&lt;=1E-9*MAX(1,ABS(D256)),"Sì","No"),IF(D256=E256,"Sì","No")))</f>
        <v/>
      </c>
    </row>
    <row r="257">
      <c r="A257" s="4" t="inlineStr">
        <is>
          <t>Settembre</t>
        </is>
      </c>
      <c r="B257" s="4" t="inlineStr">
        <is>
          <t>C101 C02</t>
        </is>
      </c>
      <c r="D257" s="15" t="inlineStr">
        <is>
          <t>OK</t>
        </is>
      </c>
      <c r="E257" s="32">
        <f>Settembre!AL105</f>
        <v/>
      </c>
      <c r="F257" s="31">
        <f>IF(AND(ISNUMBER(D257),ISNUMBER(E257)),E257-D257,"")</f>
        <v/>
      </c>
      <c r="G257" s="4">
        <f>IF(AND(D257="",E257=""),"Sì",IF(AND(ISNUMBER(D257),ISNUMBER(E257)),IF(ABS(E257-D257)&lt;=1E-9*MAX(1,ABS(D257)),"Sì","No"),IF(D257=E257,"Sì","No")))</f>
        <v/>
      </c>
    </row>
    <row r="258">
      <c r="A258" s="4" t="inlineStr">
        <is>
          <t>Settembre</t>
        </is>
      </c>
      <c r="B258" s="4" t="inlineStr">
        <is>
          <t>C101 C03</t>
        </is>
      </c>
      <c r="D258" s="15" t="inlineStr">
        <is>
          <t>OK</t>
        </is>
      </c>
      <c r="E258" s="32">
        <f>Settembre!AM105</f>
        <v/>
      </c>
      <c r="F258" s="31">
        <f>IF(AND(ISNUMBER(D258),ISNUMBER(E258)),E258-D258,"")</f>
        <v/>
      </c>
      <c r="G258" s="4">
        <f>IF(AND(D258="",E258=""),"Sì",IF(AND(ISNUMBER(D258),ISNUMBER(E258)),IF(ABS(E258-D258)&lt;=1E-9*MAX(1,ABS(D258)),"Sì","No"),IF(D258=E258,"Sì","No")))</f>
        <v/>
      </c>
    </row>
    <row r="259">
      <c r="A259" s="4" t="inlineStr">
        <is>
          <t>Settembre</t>
        </is>
      </c>
      <c r="B259" s="4" t="inlineStr">
        <is>
          <t>C101 C04</t>
        </is>
      </c>
      <c r="D259" s="15" t="inlineStr">
        <is>
          <t>ERRORE</t>
        </is>
      </c>
      <c r="E259" s="32">
        <f>Settembre!AN105</f>
        <v/>
      </c>
      <c r="F259" s="31">
        <f>IF(AND(ISNUMBER(D259),ISNUMBER(E259)),E259-D259,"")</f>
        <v/>
      </c>
      <c r="G259" s="4">
        <f>IF(AND(D259="",E259=""),"Sì",IF(AND(ISNUMBER(D259),ISNUMBER(E259)),IF(ABS(E259-D259)&lt;=1E-9*MAX(1,ABS(D259)),"Sì","No"),IF(D259=E259,"Sì","No")))</f>
        <v/>
      </c>
    </row>
    <row r="260">
      <c r="A260" s="4" t="inlineStr">
        <is>
          <t>Settembre</t>
        </is>
      </c>
      <c r="B260" s="4" t="inlineStr">
        <is>
          <t>C101 C05</t>
        </is>
      </c>
      <c r="D260" s="15" t="inlineStr">
        <is>
          <t>OK</t>
        </is>
      </c>
      <c r="E260" s="32">
        <f>Settembre!AO105</f>
        <v/>
      </c>
      <c r="F260" s="31">
        <f>IF(AND(ISNUMBER(D260),ISNUMBER(E260)),E260-D260,"")</f>
        <v/>
      </c>
      <c r="G260" s="4">
        <f>IF(AND(D260="",E260=""),"Sì",IF(AND(ISNUMBER(D260),ISNUMBER(E260)),IF(ABS(E260-D260)&lt;=1E-9*MAX(1,ABS(D260)),"Sì","No"),IF(D260=E260,"Sì","No")))</f>
        <v/>
      </c>
    </row>
    <row r="261">
      <c r="A261" s="4" t="inlineStr">
        <is>
          <t>Settembre</t>
        </is>
      </c>
      <c r="B261" s="4" t="inlineStr">
        <is>
          <t>C101 C06</t>
        </is>
      </c>
      <c r="D261" s="15" t="inlineStr">
        <is>
          <t>OK</t>
        </is>
      </c>
      <c r="E261" s="32">
        <f>Settembre!AP105</f>
        <v/>
      </c>
      <c r="F261" s="31">
        <f>IF(AND(ISNUMBER(D261),ISNUMBER(E261)),E261-D261,"")</f>
        <v/>
      </c>
      <c r="G261" s="4">
        <f>IF(AND(D261="",E261=""),"Sì",IF(AND(ISNUMBER(D261),ISNUMBER(E261)),IF(ABS(E261-D261)&lt;=1E-9*MAX(1,ABS(D261)),"Sì","No"),IF(D261=E261,"Sì","No")))</f>
        <v/>
      </c>
    </row>
    <row r="262">
      <c r="A262" s="4" t="inlineStr">
        <is>
          <t>Settembre</t>
        </is>
      </c>
      <c r="B262" s="4" t="inlineStr">
        <is>
          <t>C101 C07</t>
        </is>
      </c>
      <c r="D262" s="15" t="inlineStr">
        <is>
          <t>OK</t>
        </is>
      </c>
      <c r="E262" s="32">
        <f>Settembre!AQ105</f>
        <v/>
      </c>
      <c r="F262" s="31">
        <f>IF(AND(ISNUMBER(D262),ISNUMBER(E262)),E262-D262,"")</f>
        <v/>
      </c>
      <c r="G262" s="4">
        <f>IF(AND(D262="",E262=""),"Sì",IF(AND(ISNUMBER(D262),ISNUMBER(E262)),IF(ABS(E262-D262)&lt;=1E-9*MAX(1,ABS(D262)),"Sì","No"),IF(D262=E262,"Sì","No")))</f>
        <v/>
      </c>
    </row>
    <row r="263">
      <c r="A263" s="4" t="inlineStr">
        <is>
          <t>Settembre</t>
        </is>
      </c>
      <c r="B263" s="4" t="inlineStr">
        <is>
          <t>C101 C09</t>
        </is>
      </c>
      <c r="D263" s="15" t="inlineStr">
        <is>
          <t>OK</t>
        </is>
      </c>
      <c r="E263" s="32">
        <f>Settembre!AR105</f>
        <v/>
      </c>
      <c r="F263" s="31">
        <f>IF(AND(ISNUMBER(D263),ISNUMBER(E263)),E263-D263,"")</f>
        <v/>
      </c>
      <c r="G263" s="4">
        <f>IF(AND(D263="",E263=""),"Sì",IF(AND(ISNUMBER(D263),ISNUMBER(E263)),IF(ABS(E263-D263)&lt;=1E-9*MAX(1,ABS(D263)),"Sì","No"),IF(D263=E263,"Sì","No")))</f>
        <v/>
      </c>
    </row>
    <row r="264">
      <c r="A264" s="4" t="inlineStr">
        <is>
          <t>Settembre</t>
        </is>
      </c>
      <c r="B264" s="4" t="inlineStr">
        <is>
          <t>C107 C09</t>
        </is>
      </c>
      <c r="D264" s="15" t="inlineStr">
        <is>
          <t>ERRORE</t>
        </is>
      </c>
      <c r="E264" s="32">
        <f>Settembre!AR111</f>
        <v/>
      </c>
      <c r="F264" s="31">
        <f>IF(AND(ISNUMBER(D264),ISNUMBER(E264)),E264-D264,"")</f>
        <v/>
      </c>
      <c r="G264" s="4">
        <f>IF(AND(D264="",E264=""),"Sì",IF(AND(ISNUMBER(D264),ISNUMBER(E264)),IF(ABS(E264-D264)&lt;=1E-9*MAX(1,ABS(D264)),"Sì","No"),IF(D264=E264,"Sì","No")))</f>
        <v/>
      </c>
    </row>
    <row r="265">
      <c r="A265" s="4" t="inlineStr">
        <is>
          <t>Settembre</t>
        </is>
      </c>
      <c r="B265" s="4" t="inlineStr">
        <is>
          <t>C111 C01</t>
        </is>
      </c>
      <c r="D265" s="15" t="inlineStr">
        <is>
          <t>OK</t>
        </is>
      </c>
      <c r="E265" s="32">
        <f>Settembre!AK115</f>
        <v/>
      </c>
      <c r="F265" s="31">
        <f>IF(AND(ISNUMBER(D265),ISNUMBER(E265)),E265-D265,"")</f>
        <v/>
      </c>
      <c r="G265" s="4">
        <f>IF(AND(D265="",E265=""),"Sì",IF(AND(ISNUMBER(D265),ISNUMBER(E265)),IF(ABS(E265-D265)&lt;=1E-9*MAX(1,ABS(D265)),"Sì","No"),IF(D265=E265,"Sì","No")))</f>
        <v/>
      </c>
    </row>
    <row r="266">
      <c r="A266" s="4" t="inlineStr">
        <is>
          <t>Settembre</t>
        </is>
      </c>
      <c r="B266" s="4" t="inlineStr">
        <is>
          <t>C111 C02</t>
        </is>
      </c>
      <c r="D266" s="15" t="inlineStr">
        <is>
          <t>OK</t>
        </is>
      </c>
      <c r="E266" s="32">
        <f>Settembre!AL115</f>
        <v/>
      </c>
      <c r="F266" s="31">
        <f>IF(AND(ISNUMBER(D266),ISNUMBER(E266)),E266-D266,"")</f>
        <v/>
      </c>
      <c r="G266" s="4">
        <f>IF(AND(D266="",E266=""),"Sì",IF(AND(ISNUMBER(D266),ISNUMBER(E266)),IF(ABS(E266-D266)&lt;=1E-9*MAX(1,ABS(D266)),"Sì","No"),IF(D266=E266,"Sì","No")))</f>
        <v/>
      </c>
    </row>
    <row r="267">
      <c r="A267" s="4" t="inlineStr">
        <is>
          <t>Settembre</t>
        </is>
      </c>
      <c r="B267" s="4" t="inlineStr">
        <is>
          <t>C111 C03</t>
        </is>
      </c>
      <c r="D267" s="15" t="inlineStr">
        <is>
          <t>OK</t>
        </is>
      </c>
      <c r="E267" s="32">
        <f>Settembre!AM115</f>
        <v/>
      </c>
      <c r="F267" s="31">
        <f>IF(AND(ISNUMBER(D267),ISNUMBER(E267)),E267-D267,"")</f>
        <v/>
      </c>
      <c r="G267" s="4">
        <f>IF(AND(D267="",E267=""),"Sì",IF(AND(ISNUMBER(D267),ISNUMBER(E267)),IF(ABS(E267-D267)&lt;=1E-9*MAX(1,ABS(D267)),"Sì","No"),IF(D267=E267,"Sì","No")))</f>
        <v/>
      </c>
    </row>
    <row r="268">
      <c r="A268" s="4" t="inlineStr">
        <is>
          <t>Settembre</t>
        </is>
      </c>
      <c r="B268" s="4" t="inlineStr">
        <is>
          <t>C111 C04</t>
        </is>
      </c>
      <c r="D268" s="15" t="inlineStr">
        <is>
          <t>OK</t>
        </is>
      </c>
      <c r="E268" s="32">
        <f>Settembre!AN115</f>
        <v/>
      </c>
      <c r="F268" s="31">
        <f>IF(AND(ISNUMBER(D268),ISNUMBER(E268)),E268-D268,"")</f>
        <v/>
      </c>
      <c r="G268" s="4">
        <f>IF(AND(D268="",E268=""),"Sì",IF(AND(ISNUMBER(D268),ISNUMBER(E268)),IF(ABS(E268-D268)&lt;=1E-9*MAX(1,ABS(D268)),"Sì","No"),IF(D268=E268,"Sì","No")))</f>
        <v/>
      </c>
    </row>
    <row r="269">
      <c r="A269" s="4" t="inlineStr">
        <is>
          <t>Settembre</t>
        </is>
      </c>
      <c r="B269" s="4" t="inlineStr">
        <is>
          <t>C111 C05</t>
        </is>
      </c>
      <c r="D269" s="15" t="inlineStr">
        <is>
          <t>OK</t>
        </is>
      </c>
      <c r="E269" s="32">
        <f>Settembre!AO115</f>
        <v/>
      </c>
      <c r="F269" s="31">
        <f>IF(AND(ISNUMBER(D269),ISNUMBER(E269)),E269-D269,"")</f>
        <v/>
      </c>
      <c r="G269" s="4">
        <f>IF(AND(D269="",E269=""),"Sì",IF(AND(ISNUMBER(D269),ISNUMBER(E269)),IF(ABS(E269-D269)&lt;=1E-9*MAX(1,ABS(D269)),"Sì","No"),IF(D269=E269,"Sì","No")))</f>
        <v/>
      </c>
    </row>
    <row r="270">
      <c r="A270" s="4" t="inlineStr">
        <is>
          <t>Settembre</t>
        </is>
      </c>
      <c r="B270" s="4" t="inlineStr">
        <is>
          <t>C111 C06</t>
        </is>
      </c>
      <c r="D270" s="15" t="inlineStr">
        <is>
          <t>OK</t>
        </is>
      </c>
      <c r="E270" s="32">
        <f>Settembre!AP115</f>
        <v/>
      </c>
      <c r="F270" s="31">
        <f>IF(AND(ISNUMBER(D270),ISNUMBER(E270)),E270-D270,"")</f>
        <v/>
      </c>
      <c r="G270" s="4">
        <f>IF(AND(D270="",E270=""),"Sì",IF(AND(ISNUMBER(D270),ISNUMBER(E270)),IF(ABS(E270-D270)&lt;=1E-9*MAX(1,ABS(D270)),"Sì","No"),IF(D270=E270,"Sì","No")))</f>
        <v/>
      </c>
    </row>
    <row r="271">
      <c r="A271" s="4" t="inlineStr">
        <is>
          <t>Settembre</t>
        </is>
      </c>
      <c r="B271" s="4" t="inlineStr">
        <is>
          <t>C111 C07</t>
        </is>
      </c>
      <c r="D271" s="15" t="inlineStr">
        <is>
          <t>OK</t>
        </is>
      </c>
      <c r="E271" s="32">
        <f>Settembre!AQ115</f>
        <v/>
      </c>
      <c r="F271" s="31">
        <f>IF(AND(ISNUMBER(D271),ISNUMBER(E271)),E271-D271,"")</f>
        <v/>
      </c>
      <c r="G271" s="4">
        <f>IF(AND(D271="",E271=""),"Sì",IF(AND(ISNUMBER(D271),ISNUMBER(E271)),IF(ABS(E271-D271)&lt;=1E-9*MAX(1,ABS(D271)),"Sì","No"),IF(D271=E271,"Sì","No")))</f>
        <v/>
      </c>
    </row>
    <row r="272">
      <c r="A272" s="4" t="inlineStr">
        <is>
          <t>Settembre</t>
        </is>
      </c>
      <c r="B272" s="4" t="inlineStr">
        <is>
          <t>C111 C09</t>
        </is>
      </c>
      <c r="D272" s="15" t="inlineStr">
        <is>
          <t>OK</t>
        </is>
      </c>
      <c r="E272" s="32">
        <f>Settembre!AR115</f>
        <v/>
      </c>
      <c r="F272" s="31">
        <f>IF(AND(ISNUMBER(D272),ISNUMBER(E272)),E272-D272,"")</f>
        <v/>
      </c>
      <c r="G272" s="4">
        <f>IF(AND(D272="",E272=""),"Sì",IF(AND(ISNUMBER(D272),ISNUMBER(E272)),IF(ABS(E272-D272)&lt;=1E-9*MAX(1,ABS(D272)),"Sì","No"),IF(D272=E272,"Sì","No")))</f>
        <v/>
      </c>
    </row>
    <row r="273">
      <c r="A273" s="4" t="inlineStr">
        <is>
          <t>Settembre</t>
        </is>
      </c>
      <c r="B273" s="4" t="inlineStr">
        <is>
          <t>B201 C01</t>
        </is>
      </c>
      <c r="D273" s="15" t="inlineStr">
        <is>
          <t>OK</t>
        </is>
      </c>
      <c r="E273" s="32">
        <f>Settembre!AK125</f>
        <v/>
      </c>
      <c r="F273" s="31">
        <f>IF(AND(ISNUMBER(D273),ISNUMBER(E273)),E273-D273,"")</f>
        <v/>
      </c>
      <c r="G273" s="4">
        <f>IF(AND(D273="",E273=""),"Sì",IF(AND(ISNUMBER(D273),ISNUMBER(E273)),IF(ABS(E273-D273)&lt;=1E-9*MAX(1,ABS(D273)),"Sì","No"),IF(D273=E273,"Sì","No")))</f>
        <v/>
      </c>
    </row>
    <row r="274">
      <c r="A274" s="4" t="inlineStr">
        <is>
          <t>Settembre</t>
        </is>
      </c>
      <c r="B274" s="4" t="inlineStr">
        <is>
          <t>B201 C02</t>
        </is>
      </c>
      <c r="D274" s="15" t="inlineStr">
        <is>
          <t>OK</t>
        </is>
      </c>
      <c r="E274" s="32">
        <f>Settembre!AL125</f>
        <v/>
      </c>
      <c r="F274" s="31">
        <f>IF(AND(ISNUMBER(D274),ISNUMBER(E274)),E274-D274,"")</f>
        <v/>
      </c>
      <c r="G274" s="4">
        <f>IF(AND(D274="",E274=""),"Sì",IF(AND(ISNUMBER(D274),ISNUMBER(E274)),IF(ABS(E274-D274)&lt;=1E-9*MAX(1,ABS(D274)),"Sì","No"),IF(D274=E274,"Sì","No")))</f>
        <v/>
      </c>
    </row>
    <row r="275">
      <c r="A275" s="4" t="inlineStr">
        <is>
          <t>Settembre</t>
        </is>
      </c>
      <c r="B275" s="4" t="inlineStr">
        <is>
          <t>B201 C03</t>
        </is>
      </c>
      <c r="D275" s="15" t="inlineStr">
        <is>
          <t>OK</t>
        </is>
      </c>
      <c r="E275" s="32">
        <f>Settembre!AM125</f>
        <v/>
      </c>
      <c r="F275" s="31">
        <f>IF(AND(ISNUMBER(D275),ISNUMBER(E275)),E275-D275,"")</f>
        <v/>
      </c>
      <c r="G275" s="4">
        <f>IF(AND(D275="",E275=""),"Sì",IF(AND(ISNUMBER(D275),ISNUMBER(E275)),IF(ABS(E275-D275)&lt;=1E-9*MAX(1,ABS(D275)),"Sì","No"),IF(D275=E275,"Sì","No")))</f>
        <v/>
      </c>
    </row>
    <row r="276">
      <c r="A276" s="4" t="inlineStr">
        <is>
          <t>Settembre</t>
        </is>
      </c>
      <c r="B276" s="4" t="inlineStr">
        <is>
          <t>B201 C04</t>
        </is>
      </c>
      <c r="D276" s="15" t="inlineStr">
        <is>
          <t>OK</t>
        </is>
      </c>
      <c r="E276" s="32">
        <f>Settembre!AN125</f>
        <v/>
      </c>
      <c r="F276" s="31">
        <f>IF(AND(ISNUMBER(D276),ISNUMBER(E276)),E276-D276,"")</f>
        <v/>
      </c>
      <c r="G276" s="4">
        <f>IF(AND(D276="",E276=""),"Sì",IF(AND(ISNUMBER(D276),ISNUMBER(E276)),IF(ABS(E276-D276)&lt;=1E-9*MAX(1,ABS(D276)),"Sì","No"),IF(D276=E276,"Sì","No")))</f>
        <v/>
      </c>
    </row>
    <row r="277">
      <c r="A277" s="4" t="inlineStr">
        <is>
          <t>Settembre</t>
        </is>
      </c>
      <c r="B277" s="4" t="inlineStr">
        <is>
          <t>B201 C05</t>
        </is>
      </c>
      <c r="D277" s="15" t="inlineStr">
        <is>
          <t>OK</t>
        </is>
      </c>
      <c r="E277" s="32">
        <f>Settembre!AO125</f>
        <v/>
      </c>
      <c r="F277" s="31">
        <f>IF(AND(ISNUMBER(D277),ISNUMBER(E277)),E277-D277,"")</f>
        <v/>
      </c>
      <c r="G277" s="4">
        <f>IF(AND(D277="",E277=""),"Sì",IF(AND(ISNUMBER(D277),ISNUMBER(E277)),IF(ABS(E277-D277)&lt;=1E-9*MAX(1,ABS(D277)),"Sì","No"),IF(D277=E277,"Sì","No")))</f>
        <v/>
      </c>
    </row>
    <row r="278">
      <c r="A278" s="4" t="inlineStr">
        <is>
          <t>Settembre</t>
        </is>
      </c>
      <c r="B278" s="4" t="inlineStr">
        <is>
          <t>B201 C06</t>
        </is>
      </c>
      <c r="D278" s="15" t="inlineStr">
        <is>
          <t>OK</t>
        </is>
      </c>
      <c r="E278" s="32">
        <f>Settembre!AP125</f>
        <v/>
      </c>
      <c r="F278" s="31">
        <f>IF(AND(ISNUMBER(D278),ISNUMBER(E278)),E278-D278,"")</f>
        <v/>
      </c>
      <c r="G278" s="4">
        <f>IF(AND(D278="",E278=""),"Sì",IF(AND(ISNUMBER(D278),ISNUMBER(E278)),IF(ABS(E278-D278)&lt;=1E-9*MAX(1,ABS(D278)),"Sì","No"),IF(D278=E278,"Sì","No")))</f>
        <v/>
      </c>
    </row>
    <row r="279">
      <c r="A279" s="4" t="inlineStr">
        <is>
          <t>Settembre</t>
        </is>
      </c>
      <c r="B279" s="4" t="inlineStr">
        <is>
          <t>B201 C07</t>
        </is>
      </c>
      <c r="D279" s="15" t="inlineStr">
        <is>
          <t>OK</t>
        </is>
      </c>
      <c r="E279" s="32">
        <f>Settembre!AQ125</f>
        <v/>
      </c>
      <c r="F279" s="31">
        <f>IF(AND(ISNUMBER(D279),ISNUMBER(E279)),E279-D279,"")</f>
        <v/>
      </c>
      <c r="G279" s="4">
        <f>IF(AND(D279="",E279=""),"Sì",IF(AND(ISNUMBER(D279),ISNUMBER(E279)),IF(ABS(E279-D279)&lt;=1E-9*MAX(1,ABS(D279)),"Sì","No"),IF(D279=E279,"Sì","No")))</f>
        <v/>
      </c>
    </row>
    <row r="280">
      <c r="A280" s="4" t="inlineStr">
        <is>
          <t>Settembre</t>
        </is>
      </c>
      <c r="B280" s="4" t="inlineStr">
        <is>
          <t>B201 C09</t>
        </is>
      </c>
      <c r="D280" s="15" t="inlineStr">
        <is>
          <t>OK</t>
        </is>
      </c>
      <c r="E280" s="32">
        <f>Settembre!AR125</f>
        <v/>
      </c>
      <c r="F280" s="31">
        <f>IF(AND(ISNUMBER(D280),ISNUMBER(E280)),E280-D280,"")</f>
        <v/>
      </c>
      <c r="G280" s="4">
        <f>IF(AND(D280="",E280=""),"Sì",IF(AND(ISNUMBER(D280),ISNUMBER(E280)),IF(ABS(E280-D280)&lt;=1E-9*MAX(1,ABS(D280)),"Sì","No"),IF(D280=E280,"Sì","No")))</f>
        <v/>
      </c>
    </row>
    <row r="281">
      <c r="A281" s="4" t="inlineStr">
        <is>
          <t>F24</t>
        </is>
      </c>
      <c r="B281" s="4" t="inlineStr">
        <is>
          <t>Cliente A differenza ritenute</t>
        </is>
      </c>
      <c r="D281" s="29" t="n">
        <v>0</v>
      </c>
      <c r="E281" s="30">
        <f>F24!D5</f>
        <v/>
      </c>
      <c r="F281" s="31">
        <f>IF(AND(ISNUMBER(D281),ISNUMBER(E281)),E281-D281,"")</f>
        <v/>
      </c>
      <c r="G281" s="4">
        <f>IF(AND(D281="",E281=""),"Sì",IF(AND(ISNUMBER(D281),ISNUMBER(E281)),IF(ABS(E281-D281)&lt;=1E-9*MAX(1,ABS(D281)),"Sì","No"),IF(D281=E281,"Sì","No")))</f>
        <v/>
      </c>
    </row>
    <row r="282">
      <c r="A282" s="4" t="inlineStr">
        <is>
          <t>F24</t>
        </is>
      </c>
      <c r="B282" s="4" t="inlineStr">
        <is>
          <t>Cliente A differenza contributi</t>
        </is>
      </c>
      <c r="D282" s="29" t="n">
        <v>0</v>
      </c>
      <c r="E282" s="30">
        <f>F24!G5</f>
        <v/>
      </c>
      <c r="F282" s="31">
        <f>IF(AND(ISNUMBER(D282),ISNUMBER(E282)),E282-D282,"")</f>
        <v/>
      </c>
      <c r="G282" s="4">
        <f>IF(AND(D282="",E282=""),"Sì",IF(AND(ISNUMBER(D282),ISNUMBER(E282)),IF(ABS(E282-D282)&lt;=1E-9*MAX(1,ABS(D282)),"Sì","No"),IF(D282=E282,"Sì","No")))</f>
        <v/>
      </c>
    </row>
    <row r="283">
      <c r="A283" s="4" t="inlineStr">
        <is>
          <t>F24</t>
        </is>
      </c>
      <c r="B283" s="4" t="inlineStr">
        <is>
          <t>Cliente B differenza ritenute</t>
        </is>
      </c>
      <c r="D283" s="29" t="n">
        <v>0</v>
      </c>
      <c r="E283" s="30">
        <f>F24!D6</f>
        <v/>
      </c>
      <c r="F283" s="31">
        <f>IF(AND(ISNUMBER(D283),ISNUMBER(E283)),E283-D283,"")</f>
        <v/>
      </c>
      <c r="G283" s="4">
        <f>IF(AND(D283="",E283=""),"Sì",IF(AND(ISNUMBER(D283),ISNUMBER(E283)),IF(ABS(E283-D283)&lt;=1E-9*MAX(1,ABS(D283)),"Sì","No"),IF(D283=E283,"Sì","No")))</f>
        <v/>
      </c>
    </row>
    <row r="284">
      <c r="A284" s="4" t="inlineStr">
        <is>
          <t>F24</t>
        </is>
      </c>
      <c r="B284" s="4" t="inlineStr">
        <is>
          <t>Cliente B differenza contributi</t>
        </is>
      </c>
      <c r="D284" s="29" t="n">
        <v>0</v>
      </c>
      <c r="E284" s="30">
        <f>F24!G6</f>
        <v/>
      </c>
      <c r="F284" s="31">
        <f>IF(AND(ISNUMBER(D284),ISNUMBER(E284)),E284-D284,"")</f>
        <v/>
      </c>
      <c r="G284" s="4">
        <f>IF(AND(D284="",E284=""),"Sì",IF(AND(ISNUMBER(D284),ISNUMBER(E284)),IF(ABS(E284-D284)&lt;=1E-9*MAX(1,ABS(D284)),"Sì","No"),IF(D284=E284,"Sì","No")))</f>
        <v/>
      </c>
    </row>
    <row r="285">
      <c r="A285" s="4" t="inlineStr">
        <is>
          <t>F24</t>
        </is>
      </c>
      <c r="B285" s="4" t="inlineStr">
        <is>
          <t>Cliente C differenza ritenute</t>
        </is>
      </c>
      <c r="D285" s="29" t="n">
        <v>-212.4</v>
      </c>
      <c r="E285" s="30">
        <f>F24!D7</f>
        <v/>
      </c>
      <c r="F285" s="31">
        <f>IF(AND(ISNUMBER(D285),ISNUMBER(E285)),E285-D285,"")</f>
        <v/>
      </c>
      <c r="G285" s="4">
        <f>IF(AND(D285="",E285=""),"Sì",IF(AND(ISNUMBER(D285),ISNUMBER(E285)),IF(ABS(E285-D285)&lt;=1E-9*MAX(1,ABS(D285)),"Sì","No"),IF(D285=E285,"Sì","No")))</f>
        <v/>
      </c>
    </row>
    <row r="286">
      <c r="A286" s="4" t="inlineStr">
        <is>
          <t>F24</t>
        </is>
      </c>
      <c r="B286" s="4" t="inlineStr">
        <is>
          <t>Cliente C differenza contributi</t>
        </is>
      </c>
      <c r="D286" s="29" t="n">
        <v>0</v>
      </c>
      <c r="E286" s="30">
        <f>F24!G7</f>
        <v/>
      </c>
      <c r="F286" s="31">
        <f>IF(AND(ISNUMBER(D286),ISNUMBER(E286)),E286-D286,"")</f>
        <v/>
      </c>
      <c r="G286" s="4">
        <f>IF(AND(D286="",E286=""),"Sì",IF(AND(ISNUMBER(D286),ISNUMBER(E286)),IF(ABS(E286-D286)&lt;=1E-9*MAX(1,ABS(D286)),"Sì","No"),IF(D286=E286,"Sì","No")))</f>
        <v/>
      </c>
    </row>
    <row r="287">
      <c r="A287" s="4" t="inlineStr">
        <is>
          <t>Novembre 2026</t>
        </is>
      </c>
      <c r="B287" s="4" t="inlineStr">
        <is>
          <t>A001 aumento</t>
        </is>
      </c>
      <c r="D287" s="29" t="n">
        <v>28.39</v>
      </c>
      <c r="E287" s="30">
        <f>'Novembre 2026'!G5</f>
        <v/>
      </c>
      <c r="F287" s="31">
        <f>IF(AND(ISNUMBER(D287),ISNUMBER(E287)),E287-D287,"")</f>
        <v/>
      </c>
      <c r="G287" s="4">
        <f>IF(AND(D287="",E287=""),"Sì",IF(AND(ISNUMBER(D287),ISNUMBER(E287)),IF(ABS(E287-D287)&lt;=1E-9*MAX(1,ABS(D287)),"Sì","No"),IF(D287=E287,"Sì","No")))</f>
        <v/>
      </c>
    </row>
    <row r="288">
      <c r="A288" s="4" t="inlineStr">
        <is>
          <t>Novembre 2026</t>
        </is>
      </c>
      <c r="B288" s="4" t="inlineStr">
        <is>
          <t>A001 assorbito</t>
        </is>
      </c>
      <c r="D288" s="29" t="n">
        <v>0</v>
      </c>
      <c r="E288" s="30">
        <f>'Novembre 2026'!H5</f>
        <v/>
      </c>
      <c r="F288" s="31">
        <f>IF(AND(ISNUMBER(D288),ISNUMBER(E288)),E288-D288,"")</f>
        <v/>
      </c>
      <c r="G288" s="4">
        <f>IF(AND(D288="",E288=""),"Sì",IF(AND(ISNUMBER(D288),ISNUMBER(E288)),IF(ABS(E288-D288)&lt;=1E-9*MAX(1,ABS(D288)),"Sì","No"),IF(D288=E288,"Sì","No")))</f>
        <v/>
      </c>
    </row>
    <row r="289">
      <c r="A289" s="4" t="inlineStr">
        <is>
          <t>Novembre 2026</t>
        </is>
      </c>
      <c r="B289" s="4" t="inlineStr">
        <is>
          <t>A001 da_pagare</t>
        </is>
      </c>
      <c r="D289" s="29" t="n">
        <v>28.39</v>
      </c>
      <c r="E289" s="30">
        <f>'Novembre 2026'!I5</f>
        <v/>
      </c>
      <c r="F289" s="31">
        <f>IF(AND(ISNUMBER(D289),ISNUMBER(E289)),E289-D289,"")</f>
        <v/>
      </c>
      <c r="G289" s="4">
        <f>IF(AND(D289="",E289=""),"Sì",IF(AND(ISNUMBER(D289),ISNUMBER(E289)),IF(ABS(E289-D289)&lt;=1E-9*MAX(1,ABS(D289)),"Sì","No"),IF(D289=E289,"Sì","No")))</f>
        <v/>
      </c>
    </row>
    <row r="290">
      <c r="A290" s="4" t="inlineStr">
        <is>
          <t>Novembre 2026</t>
        </is>
      </c>
      <c r="B290" s="4" t="inlineStr">
        <is>
          <t>A001 nuovo_tabellare</t>
        </is>
      </c>
      <c r="D290" s="29" t="n">
        <v>1568.09</v>
      </c>
      <c r="E290" s="30">
        <f>'Novembre 2026'!J5</f>
        <v/>
      </c>
      <c r="F290" s="31">
        <f>IF(AND(ISNUMBER(D290),ISNUMBER(E290)),E290-D290,"")</f>
        <v/>
      </c>
      <c r="G290" s="4">
        <f>IF(AND(D290="",E290=""),"Sì",IF(AND(ISNUMBER(D290),ISNUMBER(E290)),IF(ABS(E290-D290)&lt;=1E-9*MAX(1,ABS(D290)),"Sì","No"),IF(D290=E290,"Sì","No")))</f>
        <v/>
      </c>
    </row>
    <row r="291">
      <c r="A291" s="4" t="inlineStr">
        <is>
          <t>Novembre 2026</t>
        </is>
      </c>
      <c r="B291" s="4" t="inlineStr">
        <is>
          <t>A006 aumento</t>
        </is>
      </c>
      <c r="D291" s="29" t="n">
        <v>15.81</v>
      </c>
      <c r="E291" s="30">
        <f>'Novembre 2026'!G10</f>
        <v/>
      </c>
      <c r="F291" s="31">
        <f>IF(AND(ISNUMBER(D291),ISNUMBER(E291)),E291-D291,"")</f>
        <v/>
      </c>
      <c r="G291" s="4">
        <f>IF(AND(D291="",E291=""),"Sì",IF(AND(ISNUMBER(D291),ISNUMBER(E291)),IF(ABS(E291-D291)&lt;=1E-9*MAX(1,ABS(D291)),"Sì","No"),IF(D291=E291,"Sì","No")))</f>
        <v/>
      </c>
    </row>
    <row r="292">
      <c r="A292" s="4" t="inlineStr">
        <is>
          <t>Novembre 2026</t>
        </is>
      </c>
      <c r="B292" s="4" t="inlineStr">
        <is>
          <t>A006 assorbito</t>
        </is>
      </c>
      <c r="D292" s="29" t="n">
        <v>15.81</v>
      </c>
      <c r="E292" s="30">
        <f>'Novembre 2026'!H10</f>
        <v/>
      </c>
      <c r="F292" s="31">
        <f>IF(AND(ISNUMBER(D292),ISNUMBER(E292)),E292-D292,"")</f>
        <v/>
      </c>
      <c r="G292" s="4">
        <f>IF(AND(D292="",E292=""),"Sì",IF(AND(ISNUMBER(D292),ISNUMBER(E292)),IF(ABS(E292-D292)&lt;=1E-9*MAX(1,ABS(D292)),"Sì","No"),IF(D292=E292,"Sì","No")))</f>
        <v/>
      </c>
    </row>
    <row r="293">
      <c r="A293" s="4" t="inlineStr">
        <is>
          <t>Novembre 2026</t>
        </is>
      </c>
      <c r="B293" s="4" t="inlineStr">
        <is>
          <t>A006 da_pagare</t>
        </is>
      </c>
      <c r="D293" s="29" t="n">
        <v>0</v>
      </c>
      <c r="E293" s="30">
        <f>'Novembre 2026'!I10</f>
        <v/>
      </c>
      <c r="F293" s="31">
        <f>IF(AND(ISNUMBER(D293),ISNUMBER(E293)),E293-D293,"")</f>
        <v/>
      </c>
      <c r="G293" s="4">
        <f>IF(AND(D293="",E293=""),"Sì",IF(AND(ISNUMBER(D293),ISNUMBER(E293)),IF(ABS(E293-D293)&lt;=1E-9*MAX(1,ABS(D293)),"Sì","No"),IF(D293=E293,"Sì","No")))</f>
        <v/>
      </c>
    </row>
    <row r="294">
      <c r="A294" s="4" t="inlineStr">
        <is>
          <t>Novembre 2026</t>
        </is>
      </c>
      <c r="B294" s="4" t="inlineStr">
        <is>
          <t>A006 nuovo_tabellare</t>
        </is>
      </c>
      <c r="D294" s="29" t="n">
        <v>844.8200000000001</v>
      </c>
      <c r="E294" s="30">
        <f>'Novembre 2026'!J10</f>
        <v/>
      </c>
      <c r="F294" s="31">
        <f>IF(AND(ISNUMBER(D294),ISNUMBER(E294)),E294-D294,"")</f>
        <v/>
      </c>
      <c r="G294" s="4">
        <f>IF(AND(D294="",E294=""),"Sì",IF(AND(ISNUMBER(D294),ISNUMBER(E294)),IF(ABS(E294-D294)&lt;=1E-9*MAX(1,ABS(D294)),"Sì","No"),IF(D294=E294,"Sì","No")))</f>
        <v/>
      </c>
    </row>
    <row r="295">
      <c r="A295" s="4" t="inlineStr">
        <is>
          <t>Novembre 2026</t>
        </is>
      </c>
      <c r="B295" s="4" t="inlineStr">
        <is>
          <t>A011 aumento</t>
        </is>
      </c>
      <c r="D295" s="29" t="n">
        <v>35</v>
      </c>
      <c r="E295" s="30">
        <f>'Novembre 2026'!G15</f>
        <v/>
      </c>
      <c r="F295" s="31">
        <f>IF(AND(ISNUMBER(D295),ISNUMBER(E295)),E295-D295,"")</f>
        <v/>
      </c>
      <c r="G295" s="4">
        <f>IF(AND(D295="",E295=""),"Sì",IF(AND(ISNUMBER(D295),ISNUMBER(E295)),IF(ABS(E295-D295)&lt;=1E-9*MAX(1,ABS(D295)),"Sì","No"),IF(D295=E295,"Sì","No")))</f>
        <v/>
      </c>
    </row>
    <row r="296">
      <c r="A296" s="4" t="inlineStr">
        <is>
          <t>Novembre 2026</t>
        </is>
      </c>
      <c r="B296" s="4" t="inlineStr">
        <is>
          <t>A011 assorbito</t>
        </is>
      </c>
      <c r="D296" s="29" t="n">
        <v>35</v>
      </c>
      <c r="E296" s="30">
        <f>'Novembre 2026'!H15</f>
        <v/>
      </c>
      <c r="F296" s="31">
        <f>IF(AND(ISNUMBER(D296),ISNUMBER(E296)),E296-D296,"")</f>
        <v/>
      </c>
      <c r="G296" s="4">
        <f>IF(AND(D296="",E296=""),"Sì",IF(AND(ISNUMBER(D296),ISNUMBER(E296)),IF(ABS(E296-D296)&lt;=1E-9*MAX(1,ABS(D296)),"Sì","No"),IF(D296=E296,"Sì","No")))</f>
        <v/>
      </c>
    </row>
    <row r="297">
      <c r="A297" s="4" t="inlineStr">
        <is>
          <t>Novembre 2026</t>
        </is>
      </c>
      <c r="B297" s="4" t="inlineStr">
        <is>
          <t>A011 da_pagare</t>
        </is>
      </c>
      <c r="D297" s="29" t="n">
        <v>0</v>
      </c>
      <c r="E297" s="30">
        <f>'Novembre 2026'!I15</f>
        <v/>
      </c>
      <c r="F297" s="31">
        <f>IF(AND(ISNUMBER(D297),ISNUMBER(E297)),E297-D297,"")</f>
        <v/>
      </c>
      <c r="G297" s="4">
        <f>IF(AND(D297="",E297=""),"Sì",IF(AND(ISNUMBER(D297),ISNUMBER(E297)),IF(ABS(E297-D297)&lt;=1E-9*MAX(1,ABS(D297)),"Sì","No"),IF(D297=E297,"Sì","No")))</f>
        <v/>
      </c>
    </row>
    <row r="298">
      <c r="A298" s="4" t="inlineStr">
        <is>
          <t>Novembre 2026</t>
        </is>
      </c>
      <c r="B298" s="4" t="inlineStr">
        <is>
          <t>A011 nuovo_tabellare</t>
        </is>
      </c>
      <c r="D298" s="29" t="n">
        <v>1816.68</v>
      </c>
      <c r="E298" s="30">
        <f>'Novembre 2026'!J15</f>
        <v/>
      </c>
      <c r="F298" s="31">
        <f>IF(AND(ISNUMBER(D298),ISNUMBER(E298)),E298-D298,"")</f>
        <v/>
      </c>
      <c r="G298" s="4">
        <f>IF(AND(D298="",E298=""),"Sì",IF(AND(ISNUMBER(D298),ISNUMBER(E298)),IF(ABS(E298-D298)&lt;=1E-9*MAX(1,ABS(D298)),"Sì","No"),IF(D298=E298,"Sì","No")))</f>
        <v/>
      </c>
    </row>
    <row r="299">
      <c r="A299" s="4" t="inlineStr">
        <is>
          <t>Novembre 2026</t>
        </is>
      </c>
      <c r="B299" s="4" t="inlineStr">
        <is>
          <t>A016 aumento</t>
        </is>
      </c>
      <c r="D299" s="29" t="n">
        <v>35</v>
      </c>
      <c r="E299" s="30">
        <f>'Novembre 2026'!G20</f>
        <v/>
      </c>
      <c r="F299" s="31">
        <f>IF(AND(ISNUMBER(D299),ISNUMBER(E299)),E299-D299,"")</f>
        <v/>
      </c>
      <c r="G299" s="4">
        <f>IF(AND(D299="",E299=""),"Sì",IF(AND(ISNUMBER(D299),ISNUMBER(E299)),IF(ABS(E299-D299)&lt;=1E-9*MAX(1,ABS(D299)),"Sì","No"),IF(D299=E299,"Sì","No")))</f>
        <v/>
      </c>
    </row>
    <row r="300">
      <c r="A300" s="4" t="inlineStr">
        <is>
          <t>Novembre 2026</t>
        </is>
      </c>
      <c r="B300" s="4" t="inlineStr">
        <is>
          <t>A016 assorbito</t>
        </is>
      </c>
      <c r="D300" s="29" t="n">
        <v>0</v>
      </c>
      <c r="E300" s="30">
        <f>'Novembre 2026'!H20</f>
        <v/>
      </c>
      <c r="F300" s="31">
        <f>IF(AND(ISNUMBER(D300),ISNUMBER(E300)),E300-D300,"")</f>
        <v/>
      </c>
      <c r="G300" s="4">
        <f>IF(AND(D300="",E300=""),"Sì",IF(AND(ISNUMBER(D300),ISNUMBER(E300)),IF(ABS(E300-D300)&lt;=1E-9*MAX(1,ABS(D300)),"Sì","No"),IF(D300=E300,"Sì","No")))</f>
        <v/>
      </c>
    </row>
    <row r="301">
      <c r="A301" s="4" t="inlineStr">
        <is>
          <t>Novembre 2026</t>
        </is>
      </c>
      <c r="B301" s="4" t="inlineStr">
        <is>
          <t>A016 da_pagare</t>
        </is>
      </c>
      <c r="D301" s="29" t="n">
        <v>35</v>
      </c>
      <c r="E301" s="30">
        <f>'Novembre 2026'!I20</f>
        <v/>
      </c>
      <c r="F301" s="31">
        <f>IF(AND(ISNUMBER(D301),ISNUMBER(E301)),E301-D301,"")</f>
        <v/>
      </c>
      <c r="G301" s="4">
        <f>IF(AND(D301="",E301=""),"Sì",IF(AND(ISNUMBER(D301),ISNUMBER(E301)),IF(ABS(E301-D301)&lt;=1E-9*MAX(1,ABS(D301)),"Sì","No"),IF(D301=E301,"Sì","No")))</f>
        <v/>
      </c>
    </row>
    <row r="302">
      <c r="A302" s="4" t="inlineStr">
        <is>
          <t>Novembre 2026</t>
        </is>
      </c>
      <c r="B302" s="4" t="inlineStr">
        <is>
          <t>A016 nuovo_tabellare</t>
        </is>
      </c>
      <c r="D302" s="29" t="n">
        <v>1816.68</v>
      </c>
      <c r="E302" s="30">
        <f>'Novembre 2026'!J20</f>
        <v/>
      </c>
      <c r="F302" s="31">
        <f>IF(AND(ISNUMBER(D302),ISNUMBER(E302)),E302-D302,"")</f>
        <v/>
      </c>
      <c r="G302" s="4">
        <f>IF(AND(D302="",E302=""),"Sì",IF(AND(ISNUMBER(D302),ISNUMBER(E302)),IF(ABS(E302-D302)&lt;=1E-9*MAX(1,ABS(D302)),"Sì","No"),IF(D302=E302,"Sì","No")))</f>
        <v/>
      </c>
    </row>
    <row r="303">
      <c r="A303" s="4" t="inlineStr">
        <is>
          <t>Novembre 2026</t>
        </is>
      </c>
      <c r="B303" s="4" t="inlineStr">
        <is>
          <t>B021 aumento</t>
        </is>
      </c>
      <c r="D303" s="29" t="n">
        <v>35</v>
      </c>
      <c r="E303" s="30">
        <f>'Novembre 2026'!G25</f>
        <v/>
      </c>
      <c r="F303" s="31">
        <f>IF(AND(ISNUMBER(D303),ISNUMBER(E303)),E303-D303,"")</f>
        <v/>
      </c>
      <c r="G303" s="4">
        <f>IF(AND(D303="",E303=""),"Sì",IF(AND(ISNUMBER(D303),ISNUMBER(E303)),IF(ABS(E303-D303)&lt;=1E-9*MAX(1,ABS(D303)),"Sì","No"),IF(D303=E303,"Sì","No")))</f>
        <v/>
      </c>
    </row>
    <row r="304">
      <c r="A304" s="4" t="inlineStr">
        <is>
          <t>Novembre 2026</t>
        </is>
      </c>
      <c r="B304" s="4" t="inlineStr">
        <is>
          <t>B021 assorbito</t>
        </is>
      </c>
      <c r="D304" s="29" t="n">
        <v>35</v>
      </c>
      <c r="E304" s="30">
        <f>'Novembre 2026'!H25</f>
        <v/>
      </c>
      <c r="F304" s="31">
        <f>IF(AND(ISNUMBER(D304),ISNUMBER(E304)),E304-D304,"")</f>
        <v/>
      </c>
      <c r="G304" s="4">
        <f>IF(AND(D304="",E304=""),"Sì",IF(AND(ISNUMBER(D304),ISNUMBER(E304)),IF(ABS(E304-D304)&lt;=1E-9*MAX(1,ABS(D304)),"Sì","No"),IF(D304=E304,"Sì","No")))</f>
        <v/>
      </c>
    </row>
    <row r="305">
      <c r="A305" s="4" t="inlineStr">
        <is>
          <t>Novembre 2026</t>
        </is>
      </c>
      <c r="B305" s="4" t="inlineStr">
        <is>
          <t>B021 da_pagare</t>
        </is>
      </c>
      <c r="D305" s="29" t="n">
        <v>0</v>
      </c>
      <c r="E305" s="30">
        <f>'Novembre 2026'!I25</f>
        <v/>
      </c>
      <c r="F305" s="31">
        <f>IF(AND(ISNUMBER(D305),ISNUMBER(E305)),E305-D305,"")</f>
        <v/>
      </c>
      <c r="G305" s="4">
        <f>IF(AND(D305="",E305=""),"Sì",IF(AND(ISNUMBER(D305),ISNUMBER(E305)),IF(ABS(E305-D305)&lt;=1E-9*MAX(1,ABS(D305)),"Sì","No"),IF(D305=E305,"Sì","No")))</f>
        <v/>
      </c>
    </row>
    <row r="306">
      <c r="A306" s="4" t="inlineStr">
        <is>
          <t>Novembre 2026</t>
        </is>
      </c>
      <c r="B306" s="4" t="inlineStr">
        <is>
          <t>B021 nuovo_tabellare</t>
        </is>
      </c>
      <c r="D306" s="29" t="n">
        <v>1816.68</v>
      </c>
      <c r="E306" s="30">
        <f>'Novembre 2026'!J25</f>
        <v/>
      </c>
      <c r="F306" s="31">
        <f>IF(AND(ISNUMBER(D306),ISNUMBER(E306)),E306-D306,"")</f>
        <v/>
      </c>
      <c r="G306" s="4">
        <f>IF(AND(D306="",E306=""),"Sì",IF(AND(ISNUMBER(D306),ISNUMBER(E306)),IF(ABS(E306-D306)&lt;=1E-9*MAX(1,ABS(D306)),"Sì","No"),IF(D306=E306,"Sì","No")))</f>
        <v/>
      </c>
    </row>
    <row r="307">
      <c r="A307" s="4" t="inlineStr">
        <is>
          <t>Novembre 2026</t>
        </is>
      </c>
      <c r="B307" s="4" t="inlineStr">
        <is>
          <t>B026 aumento</t>
        </is>
      </c>
      <c r="D307" s="29" t="n">
        <v>54.74</v>
      </c>
      <c r="E307" s="30">
        <f>'Novembre 2026'!G30</f>
        <v/>
      </c>
      <c r="F307" s="31">
        <f>IF(AND(ISNUMBER(D307),ISNUMBER(E307)),E307-D307,"")</f>
        <v/>
      </c>
      <c r="G307" s="4">
        <f>IF(AND(D307="",E307=""),"Sì",IF(AND(ISNUMBER(D307),ISNUMBER(E307)),IF(ABS(E307-D307)&lt;=1E-9*MAX(1,ABS(D307)),"Sì","No"),IF(D307=E307,"Sì","No")))</f>
        <v/>
      </c>
    </row>
    <row r="308">
      <c r="A308" s="4" t="inlineStr">
        <is>
          <t>Novembre 2026</t>
        </is>
      </c>
      <c r="B308" s="4" t="inlineStr">
        <is>
          <t>B026 assorbito</t>
        </is>
      </c>
      <c r="D308" s="29" t="n">
        <v>0</v>
      </c>
      <c r="E308" s="30">
        <f>'Novembre 2026'!H30</f>
        <v/>
      </c>
      <c r="F308" s="31">
        <f>IF(AND(ISNUMBER(D308),ISNUMBER(E308)),E308-D308,"")</f>
        <v/>
      </c>
      <c r="G308" s="4">
        <f>IF(AND(D308="",E308=""),"Sì",IF(AND(ISNUMBER(D308),ISNUMBER(E308)),IF(ABS(E308-D308)&lt;=1E-9*MAX(1,ABS(D308)),"Sì","No"),IF(D308=E308,"Sì","No")))</f>
        <v/>
      </c>
    </row>
    <row r="309">
      <c r="A309" s="4" t="inlineStr">
        <is>
          <t>Novembre 2026</t>
        </is>
      </c>
      <c r="B309" s="4" t="inlineStr">
        <is>
          <t>B026 da_pagare</t>
        </is>
      </c>
      <c r="D309" s="29" t="n">
        <v>54.74</v>
      </c>
      <c r="E309" s="30">
        <f>'Novembre 2026'!I30</f>
        <v/>
      </c>
      <c r="F309" s="31">
        <f>IF(AND(ISNUMBER(D309),ISNUMBER(E309)),E309-D309,"")</f>
        <v/>
      </c>
      <c r="G309" s="4">
        <f>IF(AND(D309="",E309=""),"Sì",IF(AND(ISNUMBER(D309),ISNUMBER(E309)),IF(ABS(E309-D309)&lt;=1E-9*MAX(1,ABS(D309)),"Sì","No"),IF(D309=E309,"Sì","No")))</f>
        <v/>
      </c>
    </row>
    <row r="310">
      <c r="A310" s="4" t="inlineStr">
        <is>
          <t>Novembre 2026</t>
        </is>
      </c>
      <c r="B310" s="4" t="inlineStr">
        <is>
          <t>B026 nuovo_tabellare</t>
        </is>
      </c>
      <c r="D310" s="29" t="n">
        <v>2558.81</v>
      </c>
      <c r="E310" s="30">
        <f>'Novembre 2026'!J30</f>
        <v/>
      </c>
      <c r="F310" s="31">
        <f>IF(AND(ISNUMBER(D310),ISNUMBER(E310)),E310-D310,"")</f>
        <v/>
      </c>
      <c r="G310" s="4">
        <f>IF(AND(D310="",E310=""),"Sì",IF(AND(ISNUMBER(D310),ISNUMBER(E310)),IF(ABS(E310-D310)&lt;=1E-9*MAX(1,ABS(D310)),"Sì","No"),IF(D310=E310,"Sì","No")))</f>
        <v/>
      </c>
    </row>
    <row r="311">
      <c r="A311" s="4" t="inlineStr">
        <is>
          <t>Novembre 2026</t>
        </is>
      </c>
      <c r="B311" s="4" t="inlineStr">
        <is>
          <t>B031 aumento</t>
        </is>
      </c>
      <c r="D311" s="29" t="n">
        <v>17.5</v>
      </c>
      <c r="E311" s="30">
        <f>'Novembre 2026'!G35</f>
        <v/>
      </c>
      <c r="F311" s="31">
        <f>IF(AND(ISNUMBER(D311),ISNUMBER(E311)),E311-D311,"")</f>
        <v/>
      </c>
      <c r="G311" s="4">
        <f>IF(AND(D311="",E311=""),"Sì",IF(AND(ISNUMBER(D311),ISNUMBER(E311)),IF(ABS(E311-D311)&lt;=1E-9*MAX(1,ABS(D311)),"Sì","No"),IF(D311=E311,"Sì","No")))</f>
        <v/>
      </c>
    </row>
    <row r="312">
      <c r="A312" s="4" t="inlineStr">
        <is>
          <t>Novembre 2026</t>
        </is>
      </c>
      <c r="B312" s="4" t="inlineStr">
        <is>
          <t>B031 assorbito</t>
        </is>
      </c>
      <c r="D312" s="29" t="n">
        <v>0</v>
      </c>
      <c r="E312" s="30">
        <f>'Novembre 2026'!H35</f>
        <v/>
      </c>
      <c r="F312" s="31">
        <f>IF(AND(ISNUMBER(D312),ISNUMBER(E312)),E312-D312,"")</f>
        <v/>
      </c>
      <c r="G312" s="4">
        <f>IF(AND(D312="",E312=""),"Sì",IF(AND(ISNUMBER(D312),ISNUMBER(E312)),IF(ABS(E312-D312)&lt;=1E-9*MAX(1,ABS(D312)),"Sì","No"),IF(D312=E312,"Sì","No")))</f>
        <v/>
      </c>
    </row>
    <row r="313">
      <c r="A313" s="4" t="inlineStr">
        <is>
          <t>Novembre 2026</t>
        </is>
      </c>
      <c r="B313" s="4" t="inlineStr">
        <is>
          <t>B031 da_pagare</t>
        </is>
      </c>
      <c r="D313" s="29" t="n">
        <v>17.5</v>
      </c>
      <c r="E313" s="30">
        <f>'Novembre 2026'!I35</f>
        <v/>
      </c>
      <c r="F313" s="31">
        <f>IF(AND(ISNUMBER(D313),ISNUMBER(E313)),E313-D313,"")</f>
        <v/>
      </c>
      <c r="G313" s="4">
        <f>IF(AND(D313="",E313=""),"Sì",IF(AND(ISNUMBER(D313),ISNUMBER(E313)),IF(ABS(E313-D313)&lt;=1E-9*MAX(1,ABS(D313)),"Sì","No"),IF(D313=E313,"Sì","No")))</f>
        <v/>
      </c>
    </row>
    <row r="314">
      <c r="A314" s="4" t="inlineStr">
        <is>
          <t>Novembre 2026</t>
        </is>
      </c>
      <c r="B314" s="4" t="inlineStr">
        <is>
          <t>B031 nuovo_tabellare</t>
        </is>
      </c>
      <c r="D314" s="29" t="n">
        <v>908.34</v>
      </c>
      <c r="E314" s="30">
        <f>'Novembre 2026'!J35</f>
        <v/>
      </c>
      <c r="F314" s="31">
        <f>IF(AND(ISNUMBER(D314),ISNUMBER(E314)),E314-D314,"")</f>
        <v/>
      </c>
      <c r="G314" s="4">
        <f>IF(AND(D314="",E314=""),"Sì",IF(AND(ISNUMBER(D314),ISNUMBER(E314)),IF(ABS(E314-D314)&lt;=1E-9*MAX(1,ABS(D314)),"Sì","No"),IF(D314=E314,"Sì","No")))</f>
        <v/>
      </c>
    </row>
    <row r="315">
      <c r="A315" s="4" t="inlineStr">
        <is>
          <t>Novembre 2026</t>
        </is>
      </c>
      <c r="B315" s="4" t="inlineStr">
        <is>
          <t>B036 aumento</t>
        </is>
      </c>
      <c r="D315" s="29" t="n">
        <v>30.35</v>
      </c>
      <c r="E315" s="30">
        <f>'Novembre 2026'!G40</f>
        <v/>
      </c>
      <c r="F315" s="31">
        <f>IF(AND(ISNUMBER(D315),ISNUMBER(E315)),E315-D315,"")</f>
        <v/>
      </c>
      <c r="G315" s="4">
        <f>IF(AND(D315="",E315=""),"Sì",IF(AND(ISNUMBER(D315),ISNUMBER(E315)),IF(ABS(E315-D315)&lt;=1E-9*MAX(1,ABS(D315)),"Sì","No"),IF(D315=E315,"Sì","No")))</f>
        <v/>
      </c>
    </row>
    <row r="316">
      <c r="A316" s="4" t="inlineStr">
        <is>
          <t>Novembre 2026</t>
        </is>
      </c>
      <c r="B316" s="4" t="inlineStr">
        <is>
          <t>B036 assorbito</t>
        </is>
      </c>
      <c r="D316" s="29" t="n">
        <v>0</v>
      </c>
      <c r="E316" s="30">
        <f>'Novembre 2026'!H40</f>
        <v/>
      </c>
      <c r="F316" s="31">
        <f>IF(AND(ISNUMBER(D316),ISNUMBER(E316)),E316-D316,"")</f>
        <v/>
      </c>
      <c r="G316" s="4">
        <f>IF(AND(D316="",E316=""),"Sì",IF(AND(ISNUMBER(D316),ISNUMBER(E316)),IF(ABS(E316-D316)&lt;=1E-9*MAX(1,ABS(D316)),"Sì","No"),IF(D316=E316,"Sì","No")))</f>
        <v/>
      </c>
    </row>
    <row r="317">
      <c r="A317" s="4" t="inlineStr">
        <is>
          <t>Novembre 2026</t>
        </is>
      </c>
      <c r="B317" s="4" t="inlineStr">
        <is>
          <t>B036 da_pagare</t>
        </is>
      </c>
      <c r="D317" s="29" t="n">
        <v>30.35</v>
      </c>
      <c r="E317" s="30">
        <f>'Novembre 2026'!I40</f>
        <v/>
      </c>
      <c r="F317" s="31">
        <f>IF(AND(ISNUMBER(D317),ISNUMBER(E317)),E317-D317,"")</f>
        <v/>
      </c>
      <c r="G317" s="4">
        <f>IF(AND(D317="",E317=""),"Sì",IF(AND(ISNUMBER(D317),ISNUMBER(E317)),IF(ABS(E317-D317)&lt;=1E-9*MAX(1,ABS(D317)),"Sì","No"),IF(D317=E317,"Sì","No")))</f>
        <v/>
      </c>
    </row>
    <row r="318">
      <c r="A318" s="4" t="inlineStr">
        <is>
          <t>Novembre 2026</t>
        </is>
      </c>
      <c r="B318" s="4" t="inlineStr">
        <is>
          <t>B036 nuovo_tabellare</t>
        </is>
      </c>
      <c r="D318" s="29" t="n">
        <v>1516.73</v>
      </c>
      <c r="E318" s="30">
        <f>'Novembre 2026'!J40</f>
        <v/>
      </c>
      <c r="F318" s="31">
        <f>IF(AND(ISNUMBER(D318),ISNUMBER(E318)),E318-D318,"")</f>
        <v/>
      </c>
      <c r="G318" s="4">
        <f>IF(AND(D318="",E318=""),"Sì",IF(AND(ISNUMBER(D318),ISNUMBER(E318)),IF(ABS(E318-D318)&lt;=1E-9*MAX(1,ABS(D318)),"Sì","No"),IF(D318=E318,"Sì","No")))</f>
        <v/>
      </c>
    </row>
    <row r="319">
      <c r="A319" s="4" t="inlineStr">
        <is>
          <t>Novembre 2026</t>
        </is>
      </c>
      <c r="B319" s="4" t="inlineStr">
        <is>
          <t>B041 aumento</t>
        </is>
      </c>
      <c r="D319" s="29" t="n">
        <v>47.35</v>
      </c>
      <c r="E319" s="30">
        <f>'Novembre 2026'!G45</f>
        <v/>
      </c>
      <c r="F319" s="31">
        <f>IF(AND(ISNUMBER(D319),ISNUMBER(E319)),E319-D319,"")</f>
        <v/>
      </c>
      <c r="G319" s="4">
        <f>IF(AND(D319="",E319=""),"Sì",IF(AND(ISNUMBER(D319),ISNUMBER(E319)),IF(ABS(E319-D319)&lt;=1E-9*MAX(1,ABS(D319)),"Sì","No"),IF(D319=E319,"Sì","No")))</f>
        <v/>
      </c>
    </row>
    <row r="320">
      <c r="A320" s="4" t="inlineStr">
        <is>
          <t>Novembre 2026</t>
        </is>
      </c>
      <c r="B320" s="4" t="inlineStr">
        <is>
          <t>B041 assorbito</t>
        </is>
      </c>
      <c r="D320" s="29" t="n">
        <v>0</v>
      </c>
      <c r="E320" s="30">
        <f>'Novembre 2026'!H45</f>
        <v/>
      </c>
      <c r="F320" s="31">
        <f>IF(AND(ISNUMBER(D320),ISNUMBER(E320)),E320-D320,"")</f>
        <v/>
      </c>
      <c r="G320" s="4">
        <f>IF(AND(D320="",E320=""),"Sì",IF(AND(ISNUMBER(D320),ISNUMBER(E320)),IF(ABS(E320-D320)&lt;=1E-9*MAX(1,ABS(D320)),"Sì","No"),IF(D320=E320,"Sì","No")))</f>
        <v/>
      </c>
    </row>
    <row r="321">
      <c r="A321" s="4" t="inlineStr">
        <is>
          <t>Novembre 2026</t>
        </is>
      </c>
      <c r="B321" s="4" t="inlineStr">
        <is>
          <t>B041 da_pagare</t>
        </is>
      </c>
      <c r="D321" s="29" t="n">
        <v>47.35</v>
      </c>
      <c r="E321" s="30">
        <f>'Novembre 2026'!I45</f>
        <v/>
      </c>
      <c r="F321" s="31">
        <f>IF(AND(ISNUMBER(D321),ISNUMBER(E321)),E321-D321,"")</f>
        <v/>
      </c>
      <c r="G321" s="4">
        <f>IF(AND(D321="",E321=""),"Sì",IF(AND(ISNUMBER(D321),ISNUMBER(E321)),IF(ABS(E321-D321)&lt;=1E-9*MAX(1,ABS(D321)),"Sì","No"),IF(D321=E321,"Sì","No")))</f>
        <v/>
      </c>
    </row>
    <row r="322">
      <c r="A322" s="4" t="inlineStr">
        <is>
          <t>Novembre 2026</t>
        </is>
      </c>
      <c r="B322" s="4" t="inlineStr">
        <is>
          <t>B041 nuovo_tabellare</t>
        </is>
      </c>
      <c r="D322" s="29" t="n">
        <v>2280.95</v>
      </c>
      <c r="E322" s="30">
        <f>'Novembre 2026'!J45</f>
        <v/>
      </c>
      <c r="F322" s="31">
        <f>IF(AND(ISNUMBER(D322),ISNUMBER(E322)),E322-D322,"")</f>
        <v/>
      </c>
      <c r="G322" s="4">
        <f>IF(AND(D322="",E322=""),"Sì",IF(AND(ISNUMBER(D322),ISNUMBER(E322)),IF(ABS(E322-D322)&lt;=1E-9*MAX(1,ABS(D322)),"Sì","No"),IF(D322=E322,"Sì","No")))</f>
        <v/>
      </c>
    </row>
    <row r="323">
      <c r="A323" s="4" t="inlineStr">
        <is>
          <t>Novembre 2026</t>
        </is>
      </c>
      <c r="B323" s="4" t="inlineStr">
        <is>
          <t>B046 aumento</t>
        </is>
      </c>
      <c r="D323" s="29" t="n">
        <v>28.39</v>
      </c>
      <c r="E323" s="30">
        <f>'Novembre 2026'!G50</f>
        <v/>
      </c>
      <c r="F323" s="31">
        <f>IF(AND(ISNUMBER(D323),ISNUMBER(E323)),E323-D323,"")</f>
        <v/>
      </c>
      <c r="G323" s="4">
        <f>IF(AND(D323="",E323=""),"Sì",IF(AND(ISNUMBER(D323),ISNUMBER(E323)),IF(ABS(E323-D323)&lt;=1E-9*MAX(1,ABS(D323)),"Sì","No"),IF(D323=E323,"Sì","No")))</f>
        <v/>
      </c>
    </row>
    <row r="324">
      <c r="A324" s="4" t="inlineStr">
        <is>
          <t>Novembre 2026</t>
        </is>
      </c>
      <c r="B324" s="4" t="inlineStr">
        <is>
          <t>B046 assorbito</t>
        </is>
      </c>
      <c r="D324" s="29" t="n">
        <v>0</v>
      </c>
      <c r="E324" s="30">
        <f>'Novembre 2026'!H50</f>
        <v/>
      </c>
      <c r="F324" s="31">
        <f>IF(AND(ISNUMBER(D324),ISNUMBER(E324)),E324-D324,"")</f>
        <v/>
      </c>
      <c r="G324" s="4">
        <f>IF(AND(D324="",E324=""),"Sì",IF(AND(ISNUMBER(D324),ISNUMBER(E324)),IF(ABS(E324-D324)&lt;=1E-9*MAX(1,ABS(D324)),"Sì","No"),IF(D324=E324,"Sì","No")))</f>
        <v/>
      </c>
    </row>
    <row r="325">
      <c r="A325" s="4" t="inlineStr">
        <is>
          <t>Novembre 2026</t>
        </is>
      </c>
      <c r="B325" s="4" t="inlineStr">
        <is>
          <t>B046 da_pagare</t>
        </is>
      </c>
      <c r="D325" s="29" t="n">
        <v>28.39</v>
      </c>
      <c r="E325" s="30">
        <f>'Novembre 2026'!I50</f>
        <v/>
      </c>
      <c r="F325" s="31">
        <f>IF(AND(ISNUMBER(D325),ISNUMBER(E325)),E325-D325,"")</f>
        <v/>
      </c>
      <c r="G325" s="4">
        <f>IF(AND(D325="",E325=""),"Sì",IF(AND(ISNUMBER(D325),ISNUMBER(E325)),IF(ABS(E325-D325)&lt;=1E-9*MAX(1,ABS(D325)),"Sì","No"),IF(D325=E325,"Sì","No")))</f>
        <v/>
      </c>
    </row>
    <row r="326">
      <c r="A326" s="4" t="inlineStr">
        <is>
          <t>Novembre 2026</t>
        </is>
      </c>
      <c r="B326" s="4" t="inlineStr">
        <is>
          <t>B046 nuovo_tabellare</t>
        </is>
      </c>
      <c r="D326" s="29" t="n">
        <v>1568.09</v>
      </c>
      <c r="E326" s="30">
        <f>'Novembre 2026'!J50</f>
        <v/>
      </c>
      <c r="F326" s="31">
        <f>IF(AND(ISNUMBER(D326),ISNUMBER(E326)),E326-D326,"")</f>
        <v/>
      </c>
      <c r="G326" s="4">
        <f>IF(AND(D326="",E326=""),"Sì",IF(AND(ISNUMBER(D326),ISNUMBER(E326)),IF(ABS(E326-D326)&lt;=1E-9*MAX(1,ABS(D326)),"Sì","No"),IF(D326=E326,"Sì","No")))</f>
        <v/>
      </c>
    </row>
    <row r="327">
      <c r="A327" s="4" t="inlineStr">
        <is>
          <t>Novembre 2026</t>
        </is>
      </c>
      <c r="B327" s="4" t="inlineStr">
        <is>
          <t>B051 aumento</t>
        </is>
      </c>
      <c r="D327" s="29" t="n">
        <v>24.31</v>
      </c>
      <c r="E327" s="30">
        <f>'Novembre 2026'!G55</f>
        <v/>
      </c>
      <c r="F327" s="31">
        <f>IF(AND(ISNUMBER(D327),ISNUMBER(E327)),E327-D327,"")</f>
        <v/>
      </c>
      <c r="G327" s="4">
        <f>IF(AND(D327="",E327=""),"Sì",IF(AND(ISNUMBER(D327),ISNUMBER(E327)),IF(ABS(E327-D327)&lt;=1E-9*MAX(1,ABS(D327)),"Sì","No"),IF(D327=E327,"Sì","No")))</f>
        <v/>
      </c>
    </row>
    <row r="328">
      <c r="A328" s="4" t="inlineStr">
        <is>
          <t>Novembre 2026</t>
        </is>
      </c>
      <c r="B328" s="4" t="inlineStr">
        <is>
          <t>B051 assorbito</t>
        </is>
      </c>
      <c r="D328" s="29" t="n">
        <v>24.31</v>
      </c>
      <c r="E328" s="30">
        <f>'Novembre 2026'!H55</f>
        <v/>
      </c>
      <c r="F328" s="31">
        <f>IF(AND(ISNUMBER(D328),ISNUMBER(E328)),E328-D328,"")</f>
        <v/>
      </c>
      <c r="G328" s="4">
        <f>IF(AND(D328="",E328=""),"Sì",IF(AND(ISNUMBER(D328),ISNUMBER(E328)),IF(ABS(E328-D328)&lt;=1E-9*MAX(1,ABS(D328)),"Sì","No"),IF(D328=E328,"Sì","No")))</f>
        <v/>
      </c>
    </row>
    <row r="329">
      <c r="A329" s="4" t="inlineStr">
        <is>
          <t>Novembre 2026</t>
        </is>
      </c>
      <c r="B329" s="4" t="inlineStr">
        <is>
          <t>B051 da_pagare</t>
        </is>
      </c>
      <c r="D329" s="29" t="n">
        <v>0</v>
      </c>
      <c r="E329" s="30">
        <f>'Novembre 2026'!I55</f>
        <v/>
      </c>
      <c r="F329" s="31">
        <f>IF(AND(ISNUMBER(D329),ISNUMBER(E329)),E329-D329,"")</f>
        <v/>
      </c>
      <c r="G329" s="4">
        <f>IF(AND(D329="",E329=""),"Sì",IF(AND(ISNUMBER(D329),ISNUMBER(E329)),IF(ABS(E329-D329)&lt;=1E-9*MAX(1,ABS(D329)),"Sì","No"),IF(D329=E329,"Sì","No")))</f>
        <v/>
      </c>
    </row>
    <row r="330">
      <c r="A330" s="4" t="inlineStr">
        <is>
          <t>Novembre 2026</t>
        </is>
      </c>
      <c r="B330" s="4" t="inlineStr">
        <is>
          <t>B051 nuovo_tabellare</t>
        </is>
      </c>
      <c r="D330" s="29" t="n">
        <v>1420.2</v>
      </c>
      <c r="E330" s="30">
        <f>'Novembre 2026'!J55</f>
        <v/>
      </c>
      <c r="F330" s="31">
        <f>IF(AND(ISNUMBER(D330),ISNUMBER(E330)),E330-D330,"")</f>
        <v/>
      </c>
      <c r="G330" s="4">
        <f>IF(AND(D330="",E330=""),"Sì",IF(AND(ISNUMBER(D330),ISNUMBER(E330)),IF(ABS(E330-D330)&lt;=1E-9*MAX(1,ABS(D330)),"Sì","No"),IF(D330=E330,"Sì","No")))</f>
        <v/>
      </c>
    </row>
    <row r="331">
      <c r="A331" s="4" t="inlineStr">
        <is>
          <t>Novembre 2026</t>
        </is>
      </c>
      <c r="B331" s="4" t="inlineStr">
        <is>
          <t>B056 aumento</t>
        </is>
      </c>
      <c r="D331" s="29" t="n">
        <v>31.62</v>
      </c>
      <c r="E331" s="30">
        <f>'Novembre 2026'!G60</f>
        <v/>
      </c>
      <c r="F331" s="31">
        <f>IF(AND(ISNUMBER(D331),ISNUMBER(E331)),E331-D331,"")</f>
        <v/>
      </c>
      <c r="G331" s="4">
        <f>IF(AND(D331="",E331=""),"Sì",IF(AND(ISNUMBER(D331),ISNUMBER(E331)),IF(ABS(E331-D331)&lt;=1E-9*MAX(1,ABS(D331)),"Sì","No"),IF(D331=E331,"Sì","No")))</f>
        <v/>
      </c>
    </row>
    <row r="332">
      <c r="A332" s="4" t="inlineStr">
        <is>
          <t>Novembre 2026</t>
        </is>
      </c>
      <c r="B332" s="4" t="inlineStr">
        <is>
          <t>B056 assorbito</t>
        </is>
      </c>
      <c r="D332" s="29" t="n">
        <v>0</v>
      </c>
      <c r="E332" s="30">
        <f>'Novembre 2026'!H60</f>
        <v/>
      </c>
      <c r="F332" s="31">
        <f>IF(AND(ISNUMBER(D332),ISNUMBER(E332)),E332-D332,"")</f>
        <v/>
      </c>
      <c r="G332" s="4">
        <f>IF(AND(D332="",E332=""),"Sì",IF(AND(ISNUMBER(D332),ISNUMBER(E332)),IF(ABS(E332-D332)&lt;=1E-9*MAX(1,ABS(D332)),"Sì","No"),IF(D332=E332,"Sì","No")))</f>
        <v/>
      </c>
    </row>
    <row r="333">
      <c r="A333" s="4" t="inlineStr">
        <is>
          <t>Novembre 2026</t>
        </is>
      </c>
      <c r="B333" s="4" t="inlineStr">
        <is>
          <t>B056 da_pagare</t>
        </is>
      </c>
      <c r="D333" s="29" t="n">
        <v>31.62</v>
      </c>
      <c r="E333" s="30">
        <f>'Novembre 2026'!I60</f>
        <v/>
      </c>
      <c r="F333" s="31">
        <f>IF(AND(ISNUMBER(D333),ISNUMBER(E333)),E333-D333,"")</f>
        <v/>
      </c>
      <c r="G333" s="4">
        <f>IF(AND(D333="",E333=""),"Sì",IF(AND(ISNUMBER(D333),ISNUMBER(E333)),IF(ABS(E333-D333)&lt;=1E-9*MAX(1,ABS(D333)),"Sì","No"),IF(D333=E333,"Sì","No")))</f>
        <v/>
      </c>
    </row>
    <row r="334">
      <c r="A334" s="4" t="inlineStr">
        <is>
          <t>Novembre 2026</t>
        </is>
      </c>
      <c r="B334" s="4" t="inlineStr">
        <is>
          <t>B056 nuovo_tabellare</t>
        </is>
      </c>
      <c r="D334" s="29" t="n">
        <v>1689.63</v>
      </c>
      <c r="E334" s="30">
        <f>'Novembre 2026'!J60</f>
        <v/>
      </c>
      <c r="F334" s="31">
        <f>IF(AND(ISNUMBER(D334),ISNUMBER(E334)),E334-D334,"")</f>
        <v/>
      </c>
      <c r="G334" s="4">
        <f>IF(AND(D334="",E334=""),"Sì",IF(AND(ISNUMBER(D334),ISNUMBER(E334)),IF(ABS(E334-D334)&lt;=1E-9*MAX(1,ABS(D334)),"Sì","No"),IF(D334=E334,"Sì","No")))</f>
        <v/>
      </c>
    </row>
    <row r="335">
      <c r="A335" s="4" t="inlineStr">
        <is>
          <t>Novembre 2026</t>
        </is>
      </c>
      <c r="B335" s="4" t="inlineStr">
        <is>
          <t>B061 aumento</t>
        </is>
      </c>
      <c r="D335" s="29" t="n">
        <v>26.25</v>
      </c>
      <c r="E335" s="30">
        <f>'Novembre 2026'!G65</f>
        <v/>
      </c>
      <c r="F335" s="31">
        <f>IF(AND(ISNUMBER(D335),ISNUMBER(E335)),E335-D335,"")</f>
        <v/>
      </c>
      <c r="G335" s="4">
        <f>IF(AND(D335="",E335=""),"Sì",IF(AND(ISNUMBER(D335),ISNUMBER(E335)),IF(ABS(E335-D335)&lt;=1E-9*MAX(1,ABS(D335)),"Sì","No"),IF(D335=E335,"Sì","No")))</f>
        <v/>
      </c>
    </row>
    <row r="336">
      <c r="A336" s="4" t="inlineStr">
        <is>
          <t>Novembre 2026</t>
        </is>
      </c>
      <c r="B336" s="4" t="inlineStr">
        <is>
          <t>B061 assorbito</t>
        </is>
      </c>
      <c r="D336" s="29" t="n">
        <v>26.25</v>
      </c>
      <c r="E336" s="30">
        <f>'Novembre 2026'!H65</f>
        <v/>
      </c>
      <c r="F336" s="31">
        <f>IF(AND(ISNUMBER(D336),ISNUMBER(E336)),E336-D336,"")</f>
        <v/>
      </c>
      <c r="G336" s="4">
        <f>IF(AND(D336="",E336=""),"Sì",IF(AND(ISNUMBER(D336),ISNUMBER(E336)),IF(ABS(E336-D336)&lt;=1E-9*MAX(1,ABS(D336)),"Sì","No"),IF(D336=E336,"Sì","No")))</f>
        <v/>
      </c>
    </row>
    <row r="337">
      <c r="A337" s="4" t="inlineStr">
        <is>
          <t>Novembre 2026</t>
        </is>
      </c>
      <c r="B337" s="4" t="inlineStr">
        <is>
          <t>B061 da_pagare</t>
        </is>
      </c>
      <c r="D337" s="29" t="n">
        <v>0</v>
      </c>
      <c r="E337" s="30">
        <f>'Novembre 2026'!I65</f>
        <v/>
      </c>
      <c r="F337" s="31">
        <f>IF(AND(ISNUMBER(D337),ISNUMBER(E337)),E337-D337,"")</f>
        <v/>
      </c>
      <c r="G337" s="4">
        <f>IF(AND(D337="",E337=""),"Sì",IF(AND(ISNUMBER(D337),ISNUMBER(E337)),IF(ABS(E337-D337)&lt;=1E-9*MAX(1,ABS(D337)),"Sì","No"),IF(D337=E337,"Sì","No")))</f>
        <v/>
      </c>
    </row>
    <row r="338">
      <c r="A338" s="4" t="inlineStr">
        <is>
          <t>Novembre 2026</t>
        </is>
      </c>
      <c r="B338" s="4" t="inlineStr">
        <is>
          <t>B061 nuovo_tabellare</t>
        </is>
      </c>
      <c r="D338" s="29" t="n">
        <v>1362.51</v>
      </c>
      <c r="E338" s="30">
        <f>'Novembre 2026'!J65</f>
        <v/>
      </c>
      <c r="F338" s="31">
        <f>IF(AND(ISNUMBER(D338),ISNUMBER(E338)),E338-D338,"")</f>
        <v/>
      </c>
      <c r="G338" s="4">
        <f>IF(AND(D338="",E338=""),"Sì",IF(AND(ISNUMBER(D338),ISNUMBER(E338)),IF(ABS(E338-D338)&lt;=1E-9*MAX(1,ABS(D338)),"Sì","No"),IF(D338=E338,"Sì","No")))</f>
        <v/>
      </c>
    </row>
    <row r="339">
      <c r="A339" s="4" t="inlineStr">
        <is>
          <t>Novembre 2026</t>
        </is>
      </c>
      <c r="B339" s="4" t="inlineStr">
        <is>
          <t>B066 aumento</t>
        </is>
      </c>
      <c r="D339" s="29" t="n">
        <v>47.35</v>
      </c>
      <c r="E339" s="30">
        <f>'Novembre 2026'!G70</f>
        <v/>
      </c>
      <c r="F339" s="31">
        <f>IF(AND(ISNUMBER(D339),ISNUMBER(E339)),E339-D339,"")</f>
        <v/>
      </c>
      <c r="G339" s="4">
        <f>IF(AND(D339="",E339=""),"Sì",IF(AND(ISNUMBER(D339),ISNUMBER(E339)),IF(ABS(E339-D339)&lt;=1E-9*MAX(1,ABS(D339)),"Sì","No"),IF(D339=E339,"Sì","No")))</f>
        <v/>
      </c>
    </row>
    <row r="340">
      <c r="A340" s="4" t="inlineStr">
        <is>
          <t>Novembre 2026</t>
        </is>
      </c>
      <c r="B340" s="4" t="inlineStr">
        <is>
          <t>B066 assorbito</t>
        </is>
      </c>
      <c r="D340" s="29" t="n">
        <v>0</v>
      </c>
      <c r="E340" s="30">
        <f>'Novembre 2026'!H70</f>
        <v/>
      </c>
      <c r="F340" s="31">
        <f>IF(AND(ISNUMBER(D340),ISNUMBER(E340)),E340-D340,"")</f>
        <v/>
      </c>
      <c r="G340" s="4">
        <f>IF(AND(D340="",E340=""),"Sì",IF(AND(ISNUMBER(D340),ISNUMBER(E340)),IF(ABS(E340-D340)&lt;=1E-9*MAX(1,ABS(D340)),"Sì","No"),IF(D340=E340,"Sì","No")))</f>
        <v/>
      </c>
    </row>
    <row r="341">
      <c r="A341" s="4" t="inlineStr">
        <is>
          <t>Novembre 2026</t>
        </is>
      </c>
      <c r="B341" s="4" t="inlineStr">
        <is>
          <t>B066 da_pagare</t>
        </is>
      </c>
      <c r="D341" s="29" t="n">
        <v>47.35</v>
      </c>
      <c r="E341" s="30">
        <f>'Novembre 2026'!I70</f>
        <v/>
      </c>
      <c r="F341" s="31">
        <f>IF(AND(ISNUMBER(D341),ISNUMBER(E341)),E341-D341,"")</f>
        <v/>
      </c>
      <c r="G341" s="4">
        <f>IF(AND(D341="",E341=""),"Sì",IF(AND(ISNUMBER(D341),ISNUMBER(E341)),IF(ABS(E341-D341)&lt;=1E-9*MAX(1,ABS(D341)),"Sì","No"),IF(D341=E341,"Sì","No")))</f>
        <v/>
      </c>
    </row>
    <row r="342">
      <c r="A342" s="4" t="inlineStr">
        <is>
          <t>Novembre 2026</t>
        </is>
      </c>
      <c r="B342" s="4" t="inlineStr">
        <is>
          <t>B066 nuovo_tabellare</t>
        </is>
      </c>
      <c r="D342" s="29" t="n">
        <v>2280.95</v>
      </c>
      <c r="E342" s="30">
        <f>'Novembre 2026'!J70</f>
        <v/>
      </c>
      <c r="F342" s="31">
        <f>IF(AND(ISNUMBER(D342),ISNUMBER(E342)),E342-D342,"")</f>
        <v/>
      </c>
      <c r="G342" s="4">
        <f>IF(AND(D342="",E342=""),"Sì",IF(AND(ISNUMBER(D342),ISNUMBER(E342)),IF(ABS(E342-D342)&lt;=1E-9*MAX(1,ABS(D342)),"Sì","No"),IF(D342=E342,"Sì","No")))</f>
        <v/>
      </c>
    </row>
    <row r="343">
      <c r="A343" s="4" t="inlineStr">
        <is>
          <t>Novembre 2026</t>
        </is>
      </c>
      <c r="B343" s="4" t="inlineStr">
        <is>
          <t>B071 aumento</t>
        </is>
      </c>
      <c r="D343" s="29" t="n">
        <v>17.5</v>
      </c>
      <c r="E343" s="30">
        <f>'Novembre 2026'!G75</f>
        <v/>
      </c>
      <c r="F343" s="31">
        <f>IF(AND(ISNUMBER(D343),ISNUMBER(E343)),E343-D343,"")</f>
        <v/>
      </c>
      <c r="G343" s="4">
        <f>IF(AND(D343="",E343=""),"Sì",IF(AND(ISNUMBER(D343),ISNUMBER(E343)),IF(ABS(E343-D343)&lt;=1E-9*MAX(1,ABS(D343)),"Sì","No"),IF(D343=E343,"Sì","No")))</f>
        <v/>
      </c>
    </row>
    <row r="344">
      <c r="A344" s="4" t="inlineStr">
        <is>
          <t>Novembre 2026</t>
        </is>
      </c>
      <c r="B344" s="4" t="inlineStr">
        <is>
          <t>B071 assorbito</t>
        </is>
      </c>
      <c r="D344" s="29" t="n">
        <v>17.5</v>
      </c>
      <c r="E344" s="30">
        <f>'Novembre 2026'!H75</f>
        <v/>
      </c>
      <c r="F344" s="31">
        <f>IF(AND(ISNUMBER(D344),ISNUMBER(E344)),E344-D344,"")</f>
        <v/>
      </c>
      <c r="G344" s="4">
        <f>IF(AND(D344="",E344=""),"Sì",IF(AND(ISNUMBER(D344),ISNUMBER(E344)),IF(ABS(E344-D344)&lt;=1E-9*MAX(1,ABS(D344)),"Sì","No"),IF(D344=E344,"Sì","No")))</f>
        <v/>
      </c>
    </row>
    <row r="345">
      <c r="A345" s="4" t="inlineStr">
        <is>
          <t>Novembre 2026</t>
        </is>
      </c>
      <c r="B345" s="4" t="inlineStr">
        <is>
          <t>B071 da_pagare</t>
        </is>
      </c>
      <c r="D345" s="29" t="n">
        <v>0</v>
      </c>
      <c r="E345" s="30">
        <f>'Novembre 2026'!I75</f>
        <v/>
      </c>
      <c r="F345" s="31">
        <f>IF(AND(ISNUMBER(D345),ISNUMBER(E345)),E345-D345,"")</f>
        <v/>
      </c>
      <c r="G345" s="4">
        <f>IF(AND(D345="",E345=""),"Sì",IF(AND(ISNUMBER(D345),ISNUMBER(E345)),IF(ABS(E345-D345)&lt;=1E-9*MAX(1,ABS(D345)),"Sì","No"),IF(D345=E345,"Sì","No")))</f>
        <v/>
      </c>
    </row>
    <row r="346">
      <c r="A346" s="4" t="inlineStr">
        <is>
          <t>Novembre 2026</t>
        </is>
      </c>
      <c r="B346" s="4" t="inlineStr">
        <is>
          <t>B071 nuovo_tabellare</t>
        </is>
      </c>
      <c r="D346" s="29" t="n">
        <v>908.34</v>
      </c>
      <c r="E346" s="30">
        <f>'Novembre 2026'!J75</f>
        <v/>
      </c>
      <c r="F346" s="31">
        <f>IF(AND(ISNUMBER(D346),ISNUMBER(E346)),E346-D346,"")</f>
        <v/>
      </c>
      <c r="G346" s="4">
        <f>IF(AND(D346="",E346=""),"Sì",IF(AND(ISNUMBER(D346),ISNUMBER(E346)),IF(ABS(E346-D346)&lt;=1E-9*MAX(1,ABS(D346)),"Sì","No"),IF(D346=E346,"Sì","No")))</f>
        <v/>
      </c>
    </row>
    <row r="347">
      <c r="A347" s="4" t="inlineStr">
        <is>
          <t>Novembre 2026</t>
        </is>
      </c>
      <c r="B347" s="4" t="inlineStr">
        <is>
          <t>B076 aumento</t>
        </is>
      </c>
      <c r="D347" s="29" t="n">
        <v>26.25</v>
      </c>
      <c r="E347" s="30">
        <f>'Novembre 2026'!G80</f>
        <v/>
      </c>
      <c r="F347" s="31">
        <f>IF(AND(ISNUMBER(D347),ISNUMBER(E347)),E347-D347,"")</f>
        <v/>
      </c>
      <c r="G347" s="4">
        <f>IF(AND(D347="",E347=""),"Sì",IF(AND(ISNUMBER(D347),ISNUMBER(E347)),IF(ABS(E347-D347)&lt;=1E-9*MAX(1,ABS(D347)),"Sì","No"),IF(D347=E347,"Sì","No")))</f>
        <v/>
      </c>
    </row>
    <row r="348">
      <c r="A348" s="4" t="inlineStr">
        <is>
          <t>Novembre 2026</t>
        </is>
      </c>
      <c r="B348" s="4" t="inlineStr">
        <is>
          <t>B076 assorbito</t>
        </is>
      </c>
      <c r="D348" s="29" t="n">
        <v>0</v>
      </c>
      <c r="E348" s="30">
        <f>'Novembre 2026'!H80</f>
        <v/>
      </c>
      <c r="F348" s="31">
        <f>IF(AND(ISNUMBER(D348),ISNUMBER(E348)),E348-D348,"")</f>
        <v/>
      </c>
      <c r="G348" s="4">
        <f>IF(AND(D348="",E348=""),"Sì",IF(AND(ISNUMBER(D348),ISNUMBER(E348)),IF(ABS(E348-D348)&lt;=1E-9*MAX(1,ABS(D348)),"Sì","No"),IF(D348=E348,"Sì","No")))</f>
        <v/>
      </c>
    </row>
    <row r="349">
      <c r="A349" s="4" t="inlineStr">
        <is>
          <t>Novembre 2026</t>
        </is>
      </c>
      <c r="B349" s="4" t="inlineStr">
        <is>
          <t>B076 da_pagare</t>
        </is>
      </c>
      <c r="D349" s="29" t="n">
        <v>26.25</v>
      </c>
      <c r="E349" s="30">
        <f>'Novembre 2026'!I80</f>
        <v/>
      </c>
      <c r="F349" s="31">
        <f>IF(AND(ISNUMBER(D349),ISNUMBER(E349)),E349-D349,"")</f>
        <v/>
      </c>
      <c r="G349" s="4">
        <f>IF(AND(D349="",E349=""),"Sì",IF(AND(ISNUMBER(D349),ISNUMBER(E349)),IF(ABS(E349-D349)&lt;=1E-9*MAX(1,ABS(D349)),"Sì","No"),IF(D349=E349,"Sì","No")))</f>
        <v/>
      </c>
    </row>
    <row r="350">
      <c r="A350" s="4" t="inlineStr">
        <is>
          <t>Novembre 2026</t>
        </is>
      </c>
      <c r="B350" s="4" t="inlineStr">
        <is>
          <t>B076 nuovo_tabellare</t>
        </is>
      </c>
      <c r="D350" s="29" t="n">
        <v>1362.51</v>
      </c>
      <c r="E350" s="30">
        <f>'Novembre 2026'!J80</f>
        <v/>
      </c>
      <c r="F350" s="31">
        <f>IF(AND(ISNUMBER(D350),ISNUMBER(E350)),E350-D350,"")</f>
        <v/>
      </c>
      <c r="G350" s="4">
        <f>IF(AND(D350="",E350=""),"Sì",IF(AND(ISNUMBER(D350),ISNUMBER(E350)),IF(ABS(E350-D350)&lt;=1E-9*MAX(1,ABS(D350)),"Sì","No"),IF(D350=E350,"Sì","No")))</f>
        <v/>
      </c>
    </row>
    <row r="351">
      <c r="A351" s="4" t="inlineStr">
        <is>
          <t>Novembre 2026</t>
        </is>
      </c>
      <c r="B351" s="4" t="inlineStr">
        <is>
          <t>B081 aumento</t>
        </is>
      </c>
      <c r="D351" s="29" t="n">
        <v>35</v>
      </c>
      <c r="E351" s="30">
        <f>'Novembre 2026'!G85</f>
        <v/>
      </c>
      <c r="F351" s="31">
        <f>IF(AND(ISNUMBER(D351),ISNUMBER(E351)),E351-D351,"")</f>
        <v/>
      </c>
      <c r="G351" s="4">
        <f>IF(AND(D351="",E351=""),"Sì",IF(AND(ISNUMBER(D351),ISNUMBER(E351)),IF(ABS(E351-D351)&lt;=1E-9*MAX(1,ABS(D351)),"Sì","No"),IF(D351=E351,"Sì","No")))</f>
        <v/>
      </c>
    </row>
    <row r="352">
      <c r="A352" s="4" t="inlineStr">
        <is>
          <t>Novembre 2026</t>
        </is>
      </c>
      <c r="B352" s="4" t="inlineStr">
        <is>
          <t>B081 assorbito</t>
        </is>
      </c>
      <c r="D352" s="29" t="n">
        <v>35</v>
      </c>
      <c r="E352" s="30">
        <f>'Novembre 2026'!H85</f>
        <v/>
      </c>
      <c r="F352" s="31">
        <f>IF(AND(ISNUMBER(D352),ISNUMBER(E352)),E352-D352,"")</f>
        <v/>
      </c>
      <c r="G352" s="4">
        <f>IF(AND(D352="",E352=""),"Sì",IF(AND(ISNUMBER(D352),ISNUMBER(E352)),IF(ABS(E352-D352)&lt;=1E-9*MAX(1,ABS(D352)),"Sì","No"),IF(D352=E352,"Sì","No")))</f>
        <v/>
      </c>
    </row>
    <row r="353">
      <c r="A353" s="4" t="inlineStr">
        <is>
          <t>Novembre 2026</t>
        </is>
      </c>
      <c r="B353" s="4" t="inlineStr">
        <is>
          <t>B081 da_pagare</t>
        </is>
      </c>
      <c r="D353" s="29" t="n">
        <v>0</v>
      </c>
      <c r="E353" s="30">
        <f>'Novembre 2026'!I85</f>
        <v/>
      </c>
      <c r="F353" s="31">
        <f>IF(AND(ISNUMBER(D353),ISNUMBER(E353)),E353-D353,"")</f>
        <v/>
      </c>
      <c r="G353" s="4">
        <f>IF(AND(D353="",E353=""),"Sì",IF(AND(ISNUMBER(D353),ISNUMBER(E353)),IF(ABS(E353-D353)&lt;=1E-9*MAX(1,ABS(D353)),"Sì","No"),IF(D353=E353,"Sì","No")))</f>
        <v/>
      </c>
    </row>
    <row r="354">
      <c r="A354" s="4" t="inlineStr">
        <is>
          <t>Novembre 2026</t>
        </is>
      </c>
      <c r="B354" s="4" t="inlineStr">
        <is>
          <t>B081 nuovo_tabellare</t>
        </is>
      </c>
      <c r="D354" s="29" t="n">
        <v>1816.68</v>
      </c>
      <c r="E354" s="30">
        <f>'Novembre 2026'!J85</f>
        <v/>
      </c>
      <c r="F354" s="31">
        <f>IF(AND(ISNUMBER(D354),ISNUMBER(E354)),E354-D354,"")</f>
        <v/>
      </c>
      <c r="G354" s="4">
        <f>IF(AND(D354="",E354=""),"Sì",IF(AND(ISNUMBER(D354),ISNUMBER(E354)),IF(ABS(E354-D354)&lt;=1E-9*MAX(1,ABS(D354)),"Sì","No"),IF(D354=E354,"Sì","No")))</f>
        <v/>
      </c>
    </row>
    <row r="355">
      <c r="A355" s="4" t="inlineStr">
        <is>
          <t>Novembre 2026</t>
        </is>
      </c>
      <c r="B355" s="4" t="inlineStr">
        <is>
          <t>B086 aumento</t>
        </is>
      </c>
      <c r="D355" s="29" t="n">
        <v>35</v>
      </c>
      <c r="E355" s="30">
        <f>'Novembre 2026'!G90</f>
        <v/>
      </c>
      <c r="F355" s="31">
        <f>IF(AND(ISNUMBER(D355),ISNUMBER(E355)),E355-D355,"")</f>
        <v/>
      </c>
      <c r="G355" s="4">
        <f>IF(AND(D355="",E355=""),"Sì",IF(AND(ISNUMBER(D355),ISNUMBER(E355)),IF(ABS(E355-D355)&lt;=1E-9*MAX(1,ABS(D355)),"Sì","No"),IF(D355=E355,"Sì","No")))</f>
        <v/>
      </c>
    </row>
    <row r="356">
      <c r="A356" s="4" t="inlineStr">
        <is>
          <t>Novembre 2026</t>
        </is>
      </c>
      <c r="B356" s="4" t="inlineStr">
        <is>
          <t>B086 assorbito</t>
        </is>
      </c>
      <c r="D356" s="29" t="n">
        <v>0</v>
      </c>
      <c r="E356" s="30">
        <f>'Novembre 2026'!H90</f>
        <v/>
      </c>
      <c r="F356" s="31">
        <f>IF(AND(ISNUMBER(D356),ISNUMBER(E356)),E356-D356,"")</f>
        <v/>
      </c>
      <c r="G356" s="4">
        <f>IF(AND(D356="",E356=""),"Sì",IF(AND(ISNUMBER(D356),ISNUMBER(E356)),IF(ABS(E356-D356)&lt;=1E-9*MAX(1,ABS(D356)),"Sì","No"),IF(D356=E356,"Sì","No")))</f>
        <v/>
      </c>
    </row>
    <row r="357">
      <c r="A357" s="4" t="inlineStr">
        <is>
          <t>Novembre 2026</t>
        </is>
      </c>
      <c r="B357" s="4" t="inlineStr">
        <is>
          <t>B086 da_pagare</t>
        </is>
      </c>
      <c r="D357" s="29" t="n">
        <v>35</v>
      </c>
      <c r="E357" s="30">
        <f>'Novembre 2026'!I90</f>
        <v/>
      </c>
      <c r="F357" s="31">
        <f>IF(AND(ISNUMBER(D357),ISNUMBER(E357)),E357-D357,"")</f>
        <v/>
      </c>
      <c r="G357" s="4">
        <f>IF(AND(D357="",E357=""),"Sì",IF(AND(ISNUMBER(D357),ISNUMBER(E357)),IF(ABS(E357-D357)&lt;=1E-9*MAX(1,ABS(D357)),"Sì","No"),IF(D357=E357,"Sì","No")))</f>
        <v/>
      </c>
    </row>
    <row r="358">
      <c r="A358" s="4" t="inlineStr">
        <is>
          <t>Novembre 2026</t>
        </is>
      </c>
      <c r="B358" s="4" t="inlineStr">
        <is>
          <t>B086 nuovo_tabellare</t>
        </is>
      </c>
      <c r="D358" s="29" t="n">
        <v>1816.68</v>
      </c>
      <c r="E358" s="30">
        <f>'Novembre 2026'!J90</f>
        <v/>
      </c>
      <c r="F358" s="31">
        <f>IF(AND(ISNUMBER(D358),ISNUMBER(E358)),E358-D358,"")</f>
        <v/>
      </c>
      <c r="G358" s="4">
        <f>IF(AND(D358="",E358=""),"Sì",IF(AND(ISNUMBER(D358),ISNUMBER(E358)),IF(ABS(E358-D358)&lt;=1E-9*MAX(1,ABS(D358)),"Sì","No"),IF(D358=E358,"Sì","No")))</f>
        <v/>
      </c>
    </row>
    <row r="359">
      <c r="A359" s="4" t="inlineStr">
        <is>
          <t>Novembre 2026</t>
        </is>
      </c>
      <c r="B359" s="4" t="inlineStr">
        <is>
          <t>B091 aumento</t>
        </is>
      </c>
      <c r="D359" s="29" t="n">
        <v>31.62</v>
      </c>
      <c r="E359" s="30">
        <f>'Novembre 2026'!G95</f>
        <v/>
      </c>
      <c r="F359" s="31">
        <f>IF(AND(ISNUMBER(D359),ISNUMBER(E359)),E359-D359,"")</f>
        <v/>
      </c>
      <c r="G359" s="4">
        <f>IF(AND(D359="",E359=""),"Sì",IF(AND(ISNUMBER(D359),ISNUMBER(E359)),IF(ABS(E359-D359)&lt;=1E-9*MAX(1,ABS(D359)),"Sì","No"),IF(D359=E359,"Sì","No")))</f>
        <v/>
      </c>
    </row>
    <row r="360">
      <c r="A360" s="4" t="inlineStr">
        <is>
          <t>Novembre 2026</t>
        </is>
      </c>
      <c r="B360" s="4" t="inlineStr">
        <is>
          <t>B091 assorbito</t>
        </is>
      </c>
      <c r="D360" s="29" t="n">
        <v>31.62</v>
      </c>
      <c r="E360" s="30">
        <f>'Novembre 2026'!H95</f>
        <v/>
      </c>
      <c r="F360" s="31">
        <f>IF(AND(ISNUMBER(D360),ISNUMBER(E360)),E360-D360,"")</f>
        <v/>
      </c>
      <c r="G360" s="4">
        <f>IF(AND(D360="",E360=""),"Sì",IF(AND(ISNUMBER(D360),ISNUMBER(E360)),IF(ABS(E360-D360)&lt;=1E-9*MAX(1,ABS(D360)),"Sì","No"),IF(D360=E360,"Sì","No")))</f>
        <v/>
      </c>
    </row>
    <row r="361">
      <c r="A361" s="4" t="inlineStr">
        <is>
          <t>Novembre 2026</t>
        </is>
      </c>
      <c r="B361" s="4" t="inlineStr">
        <is>
          <t>B091 da_pagare</t>
        </is>
      </c>
      <c r="D361" s="29" t="n">
        <v>0</v>
      </c>
      <c r="E361" s="30">
        <f>'Novembre 2026'!I95</f>
        <v/>
      </c>
      <c r="F361" s="31">
        <f>IF(AND(ISNUMBER(D361),ISNUMBER(E361)),E361-D361,"")</f>
        <v/>
      </c>
      <c r="G361" s="4">
        <f>IF(AND(D361="",E361=""),"Sì",IF(AND(ISNUMBER(D361),ISNUMBER(E361)),IF(ABS(E361-D361)&lt;=1E-9*MAX(1,ABS(D361)),"Sì","No"),IF(D361=E361,"Sì","No")))</f>
        <v/>
      </c>
    </row>
    <row r="362">
      <c r="A362" s="4" t="inlineStr">
        <is>
          <t>Novembre 2026</t>
        </is>
      </c>
      <c r="B362" s="4" t="inlineStr">
        <is>
          <t>B091 nuovo_tabellare</t>
        </is>
      </c>
      <c r="D362" s="29" t="n">
        <v>1689.63</v>
      </c>
      <c r="E362" s="30">
        <f>'Novembre 2026'!J95</f>
        <v/>
      </c>
      <c r="F362" s="31">
        <f>IF(AND(ISNUMBER(D362),ISNUMBER(E362)),E362-D362,"")</f>
        <v/>
      </c>
      <c r="G362" s="4">
        <f>IF(AND(D362="",E362=""),"Sì",IF(AND(ISNUMBER(D362),ISNUMBER(E362)),IF(ABS(E362-D362)&lt;=1E-9*MAX(1,ABS(D362)),"Sì","No"),IF(D362=E362,"Sì","No")))</f>
        <v/>
      </c>
    </row>
    <row r="363">
      <c r="A363" s="4" t="inlineStr">
        <is>
          <t>Novembre 2026</t>
        </is>
      </c>
      <c r="B363" s="4" t="inlineStr">
        <is>
          <t>C096 aumento</t>
        </is>
      </c>
      <c r="D363" s="29" t="n">
        <v>35</v>
      </c>
      <c r="E363" s="30">
        <f>'Novembre 2026'!G100</f>
        <v/>
      </c>
      <c r="F363" s="31">
        <f>IF(AND(ISNUMBER(D363),ISNUMBER(E363)),E363-D363,"")</f>
        <v/>
      </c>
      <c r="G363" s="4">
        <f>IF(AND(D363="",E363=""),"Sì",IF(AND(ISNUMBER(D363),ISNUMBER(E363)),IF(ABS(E363-D363)&lt;=1E-9*MAX(1,ABS(D363)),"Sì","No"),IF(D363=E363,"Sì","No")))</f>
        <v/>
      </c>
    </row>
    <row r="364">
      <c r="A364" s="4" t="inlineStr">
        <is>
          <t>Novembre 2026</t>
        </is>
      </c>
      <c r="B364" s="4" t="inlineStr">
        <is>
          <t>C096 assorbito</t>
        </is>
      </c>
      <c r="D364" s="29" t="n">
        <v>0</v>
      </c>
      <c r="E364" s="30">
        <f>'Novembre 2026'!H100</f>
        <v/>
      </c>
      <c r="F364" s="31">
        <f>IF(AND(ISNUMBER(D364),ISNUMBER(E364)),E364-D364,"")</f>
        <v/>
      </c>
      <c r="G364" s="4">
        <f>IF(AND(D364="",E364=""),"Sì",IF(AND(ISNUMBER(D364),ISNUMBER(E364)),IF(ABS(E364-D364)&lt;=1E-9*MAX(1,ABS(D364)),"Sì","No"),IF(D364=E364,"Sì","No")))</f>
        <v/>
      </c>
    </row>
    <row r="365">
      <c r="A365" s="4" t="inlineStr">
        <is>
          <t>Novembre 2026</t>
        </is>
      </c>
      <c r="B365" s="4" t="inlineStr">
        <is>
          <t>C096 da_pagare</t>
        </is>
      </c>
      <c r="D365" s="29" t="n">
        <v>35</v>
      </c>
      <c r="E365" s="30">
        <f>'Novembre 2026'!I100</f>
        <v/>
      </c>
      <c r="F365" s="31">
        <f>IF(AND(ISNUMBER(D365),ISNUMBER(E365)),E365-D365,"")</f>
        <v/>
      </c>
      <c r="G365" s="4">
        <f>IF(AND(D365="",E365=""),"Sì",IF(AND(ISNUMBER(D365),ISNUMBER(E365)),IF(ABS(E365-D365)&lt;=1E-9*MAX(1,ABS(D365)),"Sì","No"),IF(D365=E365,"Sì","No")))</f>
        <v/>
      </c>
    </row>
    <row r="366">
      <c r="A366" s="4" t="inlineStr">
        <is>
          <t>Novembre 2026</t>
        </is>
      </c>
      <c r="B366" s="4" t="inlineStr">
        <is>
          <t>C096 nuovo_tabellare</t>
        </is>
      </c>
      <c r="D366" s="29" t="n">
        <v>1816.68</v>
      </c>
      <c r="E366" s="30">
        <f>'Novembre 2026'!J100</f>
        <v/>
      </c>
      <c r="F366" s="31">
        <f>IF(AND(ISNUMBER(D366),ISNUMBER(E366)),E366-D366,"")</f>
        <v/>
      </c>
      <c r="G366" s="4">
        <f>IF(AND(D366="",E366=""),"Sì",IF(AND(ISNUMBER(D366),ISNUMBER(E366)),IF(ABS(E366-D366)&lt;=1E-9*MAX(1,ABS(D366)),"Sì","No"),IF(D366=E366,"Sì","No")))</f>
        <v/>
      </c>
    </row>
    <row r="367">
      <c r="A367" s="4" t="inlineStr">
        <is>
          <t>Novembre 2026</t>
        </is>
      </c>
      <c r="B367" s="4" t="inlineStr">
        <is>
          <t>C101 aumento</t>
        </is>
      </c>
      <c r="D367" s="29" t="n">
        <v>31.62</v>
      </c>
      <c r="E367" s="30">
        <f>'Novembre 2026'!G105</f>
        <v/>
      </c>
      <c r="F367" s="31">
        <f>IF(AND(ISNUMBER(D367),ISNUMBER(E367)),E367-D367,"")</f>
        <v/>
      </c>
      <c r="G367" s="4">
        <f>IF(AND(D367="",E367=""),"Sì",IF(AND(ISNUMBER(D367),ISNUMBER(E367)),IF(ABS(E367-D367)&lt;=1E-9*MAX(1,ABS(D367)),"Sì","No"),IF(D367=E367,"Sì","No")))</f>
        <v/>
      </c>
    </row>
    <row r="368">
      <c r="A368" s="4" t="inlineStr">
        <is>
          <t>Novembre 2026</t>
        </is>
      </c>
      <c r="B368" s="4" t="inlineStr">
        <is>
          <t>C101 assorbito</t>
        </is>
      </c>
      <c r="D368" s="29" t="n">
        <v>0</v>
      </c>
      <c r="E368" s="30">
        <f>'Novembre 2026'!H105</f>
        <v/>
      </c>
      <c r="F368" s="31">
        <f>IF(AND(ISNUMBER(D368),ISNUMBER(E368)),E368-D368,"")</f>
        <v/>
      </c>
      <c r="G368" s="4">
        <f>IF(AND(D368="",E368=""),"Sì",IF(AND(ISNUMBER(D368),ISNUMBER(E368)),IF(ABS(E368-D368)&lt;=1E-9*MAX(1,ABS(D368)),"Sì","No"),IF(D368=E368,"Sì","No")))</f>
        <v/>
      </c>
    </row>
    <row r="369">
      <c r="A369" s="4" t="inlineStr">
        <is>
          <t>Novembre 2026</t>
        </is>
      </c>
      <c r="B369" s="4" t="inlineStr">
        <is>
          <t>C101 da_pagare</t>
        </is>
      </c>
      <c r="D369" s="29" t="n">
        <v>31.62</v>
      </c>
      <c r="E369" s="30">
        <f>'Novembre 2026'!I105</f>
        <v/>
      </c>
      <c r="F369" s="31">
        <f>IF(AND(ISNUMBER(D369),ISNUMBER(E369)),E369-D369,"")</f>
        <v/>
      </c>
      <c r="G369" s="4">
        <f>IF(AND(D369="",E369=""),"Sì",IF(AND(ISNUMBER(D369),ISNUMBER(E369)),IF(ABS(E369-D369)&lt;=1E-9*MAX(1,ABS(D369)),"Sì","No"),IF(D369=E369,"Sì","No")))</f>
        <v/>
      </c>
    </row>
    <row r="370">
      <c r="A370" s="4" t="inlineStr">
        <is>
          <t>Novembre 2026</t>
        </is>
      </c>
      <c r="B370" s="4" t="inlineStr">
        <is>
          <t>C101 nuovo_tabellare</t>
        </is>
      </c>
      <c r="D370" s="29" t="n">
        <v>1689.63</v>
      </c>
      <c r="E370" s="30">
        <f>'Novembre 2026'!J105</f>
        <v/>
      </c>
      <c r="F370" s="31">
        <f>IF(AND(ISNUMBER(D370),ISNUMBER(E370)),E370-D370,"")</f>
        <v/>
      </c>
      <c r="G370" s="4">
        <f>IF(AND(D370="",E370=""),"Sì",IF(AND(ISNUMBER(D370),ISNUMBER(E370)),IF(ABS(E370-D370)&lt;=1E-9*MAX(1,ABS(D370)),"Sì","No"),IF(D370=E370,"Sì","No")))</f>
        <v/>
      </c>
    </row>
    <row r="371">
      <c r="A371" s="4" t="inlineStr">
        <is>
          <t>Novembre 2026</t>
        </is>
      </c>
      <c r="B371" s="4" t="inlineStr">
        <is>
          <t>C106 aumento</t>
        </is>
      </c>
      <c r="D371" s="29" t="n">
        <v>35</v>
      </c>
      <c r="E371" s="30">
        <f>'Novembre 2026'!G110</f>
        <v/>
      </c>
      <c r="F371" s="31">
        <f>IF(AND(ISNUMBER(D371),ISNUMBER(E371)),E371-D371,"")</f>
        <v/>
      </c>
      <c r="G371" s="4">
        <f>IF(AND(D371="",E371=""),"Sì",IF(AND(ISNUMBER(D371),ISNUMBER(E371)),IF(ABS(E371-D371)&lt;=1E-9*MAX(1,ABS(D371)),"Sì","No"),IF(D371=E371,"Sì","No")))</f>
        <v/>
      </c>
    </row>
    <row r="372">
      <c r="A372" s="4" t="inlineStr">
        <is>
          <t>Novembre 2026</t>
        </is>
      </c>
      <c r="B372" s="4" t="inlineStr">
        <is>
          <t>C106 assorbito</t>
        </is>
      </c>
      <c r="D372" s="29" t="n">
        <v>0</v>
      </c>
      <c r="E372" s="30">
        <f>'Novembre 2026'!H110</f>
        <v/>
      </c>
      <c r="F372" s="31">
        <f>IF(AND(ISNUMBER(D372),ISNUMBER(E372)),E372-D372,"")</f>
        <v/>
      </c>
      <c r="G372" s="4">
        <f>IF(AND(D372="",E372=""),"Sì",IF(AND(ISNUMBER(D372),ISNUMBER(E372)),IF(ABS(E372-D372)&lt;=1E-9*MAX(1,ABS(D372)),"Sì","No"),IF(D372=E372,"Sì","No")))</f>
        <v/>
      </c>
    </row>
    <row r="373">
      <c r="A373" s="4" t="inlineStr">
        <is>
          <t>Novembre 2026</t>
        </is>
      </c>
      <c r="B373" s="4" t="inlineStr">
        <is>
          <t>C106 da_pagare</t>
        </is>
      </c>
      <c r="D373" s="29" t="n">
        <v>35</v>
      </c>
      <c r="E373" s="30">
        <f>'Novembre 2026'!I110</f>
        <v/>
      </c>
      <c r="F373" s="31">
        <f>IF(AND(ISNUMBER(D373),ISNUMBER(E373)),E373-D373,"")</f>
        <v/>
      </c>
      <c r="G373" s="4">
        <f>IF(AND(D373="",E373=""),"Sì",IF(AND(ISNUMBER(D373),ISNUMBER(E373)),IF(ABS(E373-D373)&lt;=1E-9*MAX(1,ABS(D373)),"Sì","No"),IF(D373=E373,"Sì","No")))</f>
        <v/>
      </c>
    </row>
    <row r="374">
      <c r="A374" s="4" t="inlineStr">
        <is>
          <t>Novembre 2026</t>
        </is>
      </c>
      <c r="B374" s="4" t="inlineStr">
        <is>
          <t>C106 nuovo_tabellare</t>
        </is>
      </c>
      <c r="D374" s="29" t="n">
        <v>1816.68</v>
      </c>
      <c r="E374" s="30">
        <f>'Novembre 2026'!J110</f>
        <v/>
      </c>
      <c r="F374" s="31">
        <f>IF(AND(ISNUMBER(D374),ISNUMBER(E374)),E374-D374,"")</f>
        <v/>
      </c>
      <c r="G374" s="4">
        <f>IF(AND(D374="",E374=""),"Sì",IF(AND(ISNUMBER(D374),ISNUMBER(E374)),IF(ABS(E374-D374)&lt;=1E-9*MAX(1,ABS(D374)),"Sì","No"),IF(D374=E374,"Sì","No")))</f>
        <v/>
      </c>
    </row>
    <row r="375">
      <c r="A375" s="4" t="inlineStr">
        <is>
          <t>Novembre 2026</t>
        </is>
      </c>
      <c r="B375" s="4" t="inlineStr">
        <is>
          <t>C111 aumento</t>
        </is>
      </c>
      <c r="D375" s="29" t="n">
        <v>40.47</v>
      </c>
      <c r="E375" s="30">
        <f>'Novembre 2026'!G115</f>
        <v/>
      </c>
      <c r="F375" s="31">
        <f>IF(AND(ISNUMBER(D375),ISNUMBER(E375)),E375-D375,"")</f>
        <v/>
      </c>
      <c r="G375" s="4">
        <f>IF(AND(D375="",E375=""),"Sì",IF(AND(ISNUMBER(D375),ISNUMBER(E375)),IF(ABS(E375-D375)&lt;=1E-9*MAX(1,ABS(D375)),"Sì","No"),IF(D375=E375,"Sì","No")))</f>
        <v/>
      </c>
    </row>
    <row r="376">
      <c r="A376" s="4" t="inlineStr">
        <is>
          <t>Novembre 2026</t>
        </is>
      </c>
      <c r="B376" s="4" t="inlineStr">
        <is>
          <t>C111 assorbito</t>
        </is>
      </c>
      <c r="D376" s="29" t="n">
        <v>0</v>
      </c>
      <c r="E376" s="30">
        <f>'Novembre 2026'!H115</f>
        <v/>
      </c>
      <c r="F376" s="31">
        <f>IF(AND(ISNUMBER(D376),ISNUMBER(E376)),E376-D376,"")</f>
        <v/>
      </c>
      <c r="G376" s="4">
        <f>IF(AND(D376="",E376=""),"Sì",IF(AND(ISNUMBER(D376),ISNUMBER(E376)),IF(ABS(E376-D376)&lt;=1E-9*MAX(1,ABS(D376)),"Sì","No"),IF(D376=E376,"Sì","No")))</f>
        <v/>
      </c>
    </row>
    <row r="377">
      <c r="A377" s="4" t="inlineStr">
        <is>
          <t>Novembre 2026</t>
        </is>
      </c>
      <c r="B377" s="4" t="inlineStr">
        <is>
          <t>C111 da_pagare</t>
        </is>
      </c>
      <c r="D377" s="29" t="n">
        <v>40.47</v>
      </c>
      <c r="E377" s="30">
        <f>'Novembre 2026'!I115</f>
        <v/>
      </c>
      <c r="F377" s="31">
        <f>IF(AND(ISNUMBER(D377),ISNUMBER(E377)),E377-D377,"")</f>
        <v/>
      </c>
      <c r="G377" s="4">
        <f>IF(AND(D377="",E377=""),"Sì",IF(AND(ISNUMBER(D377),ISNUMBER(E377)),IF(ABS(E377-D377)&lt;=1E-9*MAX(1,ABS(D377)),"Sì","No"),IF(D377=E377,"Sì","No")))</f>
        <v/>
      </c>
    </row>
    <row r="378">
      <c r="A378" s="4" t="inlineStr">
        <is>
          <t>Novembre 2026</t>
        </is>
      </c>
      <c r="B378" s="4" t="inlineStr">
        <is>
          <t>C111 nuovo_tabellare</t>
        </is>
      </c>
      <c r="D378" s="29" t="n">
        <v>2022.31</v>
      </c>
      <c r="E378" s="30">
        <f>'Novembre 2026'!J115</f>
        <v/>
      </c>
      <c r="F378" s="31">
        <f>IF(AND(ISNUMBER(D378),ISNUMBER(E378)),E378-D378,"")</f>
        <v/>
      </c>
      <c r="G378" s="4">
        <f>IF(AND(D378="",E378=""),"Sì",IF(AND(ISNUMBER(D378),ISNUMBER(E378)),IF(ABS(E378-D378)&lt;=1E-9*MAX(1,ABS(D378)),"Sì","No"),IF(D378=E378,"Sì","No")))</f>
        <v/>
      </c>
    </row>
    <row r="379">
      <c r="A379" s="4" t="inlineStr">
        <is>
          <t>Novembre 2026</t>
        </is>
      </c>
      <c r="B379" s="4" t="inlineStr">
        <is>
          <t>C116 aumento</t>
        </is>
      </c>
      <c r="D379" s="29" t="n">
        <v>40.47</v>
      </c>
      <c r="E379" s="30">
        <f>'Novembre 2026'!G120</f>
        <v/>
      </c>
      <c r="F379" s="31">
        <f>IF(AND(ISNUMBER(D379),ISNUMBER(E379)),E379-D379,"")</f>
        <v/>
      </c>
      <c r="G379" s="4">
        <f>IF(AND(D379="",E379=""),"Sì",IF(AND(ISNUMBER(D379),ISNUMBER(E379)),IF(ABS(E379-D379)&lt;=1E-9*MAX(1,ABS(D379)),"Sì","No"),IF(D379=E379,"Sì","No")))</f>
        <v/>
      </c>
    </row>
    <row r="380">
      <c r="A380" s="4" t="inlineStr">
        <is>
          <t>Novembre 2026</t>
        </is>
      </c>
      <c r="B380" s="4" t="inlineStr">
        <is>
          <t>C116 assorbito</t>
        </is>
      </c>
      <c r="D380" s="29" t="n">
        <v>40.47</v>
      </c>
      <c r="E380" s="30">
        <f>'Novembre 2026'!H120</f>
        <v/>
      </c>
      <c r="F380" s="31">
        <f>IF(AND(ISNUMBER(D380),ISNUMBER(E380)),E380-D380,"")</f>
        <v/>
      </c>
      <c r="G380" s="4">
        <f>IF(AND(D380="",E380=""),"Sì",IF(AND(ISNUMBER(D380),ISNUMBER(E380)),IF(ABS(E380-D380)&lt;=1E-9*MAX(1,ABS(D380)),"Sì","No"),IF(D380=E380,"Sì","No")))</f>
        <v/>
      </c>
    </row>
    <row r="381">
      <c r="A381" s="4" t="inlineStr">
        <is>
          <t>Novembre 2026</t>
        </is>
      </c>
      <c r="B381" s="4" t="inlineStr">
        <is>
          <t>C116 da_pagare</t>
        </is>
      </c>
      <c r="D381" s="29" t="n">
        <v>0</v>
      </c>
      <c r="E381" s="30">
        <f>'Novembre 2026'!I120</f>
        <v/>
      </c>
      <c r="F381" s="31">
        <f>IF(AND(ISNUMBER(D381),ISNUMBER(E381)),E381-D381,"")</f>
        <v/>
      </c>
      <c r="G381" s="4">
        <f>IF(AND(D381="",E381=""),"Sì",IF(AND(ISNUMBER(D381),ISNUMBER(E381)),IF(ABS(E381-D381)&lt;=1E-9*MAX(1,ABS(D381)),"Sì","No"),IF(D381=E381,"Sì","No")))</f>
        <v/>
      </c>
    </row>
    <row r="382">
      <c r="A382" s="4" t="inlineStr">
        <is>
          <t>Novembre 2026</t>
        </is>
      </c>
      <c r="B382" s="4" t="inlineStr">
        <is>
          <t>C116 nuovo_tabellare</t>
        </is>
      </c>
      <c r="D382" s="29" t="n">
        <v>2022.31</v>
      </c>
      <c r="E382" s="30">
        <f>'Novembre 2026'!J120</f>
        <v/>
      </c>
      <c r="F382" s="31">
        <f>IF(AND(ISNUMBER(D382),ISNUMBER(E382)),E382-D382,"")</f>
        <v/>
      </c>
      <c r="G382" s="4">
        <f>IF(AND(D382="",E382=""),"Sì",IF(AND(ISNUMBER(D382),ISNUMBER(E382)),IF(ABS(E382-D382)&lt;=1E-9*MAX(1,ABS(D382)),"Sì","No"),IF(D382=E382,"Sì","No")))</f>
        <v/>
      </c>
    </row>
    <row r="383">
      <c r="A383" s="4" t="inlineStr">
        <is>
          <t>Novembre 2026</t>
        </is>
      </c>
      <c r="B383" s="4" t="inlineStr">
        <is>
          <t>B201 aumento</t>
        </is>
      </c>
      <c r="D383" s="29" t="n">
        <v>31.62</v>
      </c>
      <c r="E383" s="30">
        <f>'Novembre 2026'!G125</f>
        <v/>
      </c>
      <c r="F383" s="31">
        <f>IF(AND(ISNUMBER(D383),ISNUMBER(E383)),E383-D383,"")</f>
        <v/>
      </c>
      <c r="G383" s="4">
        <f>IF(AND(D383="",E383=""),"Sì",IF(AND(ISNUMBER(D383),ISNUMBER(E383)),IF(ABS(E383-D383)&lt;=1E-9*MAX(1,ABS(D383)),"Sì","No"),IF(D383=E383,"Sì","No")))</f>
        <v/>
      </c>
    </row>
    <row r="384">
      <c r="A384" s="4" t="inlineStr">
        <is>
          <t>Novembre 2026</t>
        </is>
      </c>
      <c r="B384" s="4" t="inlineStr">
        <is>
          <t>B201 assorbito</t>
        </is>
      </c>
      <c r="D384" s="29" t="n">
        <v>0</v>
      </c>
      <c r="E384" s="30">
        <f>'Novembre 2026'!H125</f>
        <v/>
      </c>
      <c r="F384" s="31">
        <f>IF(AND(ISNUMBER(D384),ISNUMBER(E384)),E384-D384,"")</f>
        <v/>
      </c>
      <c r="G384" s="4">
        <f>IF(AND(D384="",E384=""),"Sì",IF(AND(ISNUMBER(D384),ISNUMBER(E384)),IF(ABS(E384-D384)&lt;=1E-9*MAX(1,ABS(D384)),"Sì","No"),IF(D384=E384,"Sì","No")))</f>
        <v/>
      </c>
    </row>
    <row r="385">
      <c r="A385" s="4" t="inlineStr">
        <is>
          <t>Novembre 2026</t>
        </is>
      </c>
      <c r="B385" s="4" t="inlineStr">
        <is>
          <t>B201 da_pagare</t>
        </is>
      </c>
      <c r="D385" s="29" t="n">
        <v>31.62</v>
      </c>
      <c r="E385" s="30">
        <f>'Novembre 2026'!I125</f>
        <v/>
      </c>
      <c r="F385" s="31">
        <f>IF(AND(ISNUMBER(D385),ISNUMBER(E385)),E385-D385,"")</f>
        <v/>
      </c>
      <c r="G385" s="4">
        <f>IF(AND(D385="",E385=""),"Sì",IF(AND(ISNUMBER(D385),ISNUMBER(E385)),IF(ABS(E385-D385)&lt;=1E-9*MAX(1,ABS(D385)),"Sì","No"),IF(D385=E385,"Sì","No")))</f>
        <v/>
      </c>
    </row>
    <row r="386">
      <c r="A386" s="4" t="inlineStr">
        <is>
          <t>Novembre 2026</t>
        </is>
      </c>
      <c r="B386" s="4" t="inlineStr">
        <is>
          <t>B201 nuovo_tabellare</t>
        </is>
      </c>
      <c r="D386" s="29" t="n">
        <v>1689.63</v>
      </c>
      <c r="E386" s="30">
        <f>'Novembre 2026'!J125</f>
        <v/>
      </c>
      <c r="F386" s="31">
        <f>IF(AND(ISNUMBER(D386),ISNUMBER(E386)),E386-D386,"")</f>
        <v/>
      </c>
      <c r="G386" s="4">
        <f>IF(AND(D386="",E386=""),"Sì",IF(AND(ISNUMBER(D386),ISNUMBER(E386)),IF(ABS(E386-D386)&lt;=1E-9*MAX(1,ABS(D386)),"Sì","No"),IF(D386=E386,"Sì","No")))</f>
        <v/>
      </c>
    </row>
    <row r="387">
      <c r="A387" s="4" t="inlineStr">
        <is>
          <t>Riepilogo</t>
        </is>
      </c>
      <c r="B387" s="4" t="inlineStr">
        <is>
          <t>C01 cliente A</t>
        </is>
      </c>
      <c r="D387" s="15" t="n">
        <v>0</v>
      </c>
      <c r="E387" s="32">
        <f>Riepilogo!C5</f>
        <v/>
      </c>
      <c r="F387" s="31">
        <f>IF(AND(ISNUMBER(D387),ISNUMBER(E387)),E387-D387,"")</f>
        <v/>
      </c>
      <c r="G387" s="4">
        <f>IF(AND(D387="",E387=""),"Sì",IF(AND(ISNUMBER(D387),ISNUMBER(E387)),IF(ABS(E387-D387)&lt;=1E-9*MAX(1,ABS(D387)),"Sì","No"),IF(D387=E387,"Sì","No")))</f>
        <v/>
      </c>
    </row>
    <row r="388">
      <c r="A388" s="4" t="inlineStr">
        <is>
          <t>Riepilogo</t>
        </is>
      </c>
      <c r="B388" s="4" t="inlineStr">
        <is>
          <t>C01 cliente B</t>
        </is>
      </c>
      <c r="D388" s="15" t="n">
        <v>6</v>
      </c>
      <c r="E388" s="32">
        <f>Riepilogo!D5</f>
        <v/>
      </c>
      <c r="F388" s="31">
        <f>IF(AND(ISNUMBER(D388),ISNUMBER(E388)),E388-D388,"")</f>
        <v/>
      </c>
      <c r="G388" s="4">
        <f>IF(AND(D388="",E388=""),"Sì",IF(AND(ISNUMBER(D388),ISNUMBER(E388)),IF(ABS(E388-D388)&lt;=1E-9*MAX(1,ABS(D388)),"Sì","No"),IF(D388=E388,"Sì","No")))</f>
        <v/>
      </c>
    </row>
    <row r="389">
      <c r="A389" s="4" t="inlineStr">
        <is>
          <t>Riepilogo</t>
        </is>
      </c>
      <c r="B389" s="4" t="inlineStr">
        <is>
          <t>C01 cliente C</t>
        </is>
      </c>
      <c r="D389" s="15" t="n">
        <v>0</v>
      </c>
      <c r="E389" s="32">
        <f>Riepilogo!E5</f>
        <v/>
      </c>
      <c r="F389" s="31">
        <f>IF(AND(ISNUMBER(D389),ISNUMBER(E389)),E389-D389,"")</f>
        <v/>
      </c>
      <c r="G389" s="4">
        <f>IF(AND(D389="",E389=""),"Sì",IF(AND(ISNUMBER(D389),ISNUMBER(E389)),IF(ABS(E389-D389)&lt;=1E-9*MAX(1,ABS(D389)),"Sì","No"),IF(D389=E389,"Sì","No")))</f>
        <v/>
      </c>
    </row>
    <row r="390">
      <c r="A390" s="4" t="inlineStr">
        <is>
          <t>Riepilogo</t>
        </is>
      </c>
      <c r="B390" s="4" t="inlineStr">
        <is>
          <t>C02 cliente A</t>
        </is>
      </c>
      <c r="D390" s="15" t="n">
        <v>2</v>
      </c>
      <c r="E390" s="32">
        <f>Riepilogo!C6</f>
        <v/>
      </c>
      <c r="F390" s="31">
        <f>IF(AND(ISNUMBER(D390),ISNUMBER(E390)),E390-D390,"")</f>
        <v/>
      </c>
      <c r="G390" s="4">
        <f>IF(AND(D390="",E390=""),"Sì",IF(AND(ISNUMBER(D390),ISNUMBER(E390)),IF(ABS(E390-D390)&lt;=1E-9*MAX(1,ABS(D390)),"Sì","No"),IF(D390=E390,"Sì","No")))</f>
        <v/>
      </c>
    </row>
    <row r="391">
      <c r="A391" s="4" t="inlineStr">
        <is>
          <t>Riepilogo</t>
        </is>
      </c>
      <c r="B391" s="4" t="inlineStr">
        <is>
          <t>C02 cliente B</t>
        </is>
      </c>
      <c r="D391" s="15" t="n">
        <v>2</v>
      </c>
      <c r="E391" s="32">
        <f>Riepilogo!D6</f>
        <v/>
      </c>
      <c r="F391" s="31">
        <f>IF(AND(ISNUMBER(D391),ISNUMBER(E391)),E391-D391,"")</f>
        <v/>
      </c>
      <c r="G391" s="4">
        <f>IF(AND(D391="",E391=""),"Sì",IF(AND(ISNUMBER(D391),ISNUMBER(E391)),IF(ABS(E391-D391)&lt;=1E-9*MAX(1,ABS(D391)),"Sì","No"),IF(D391=E391,"Sì","No")))</f>
        <v/>
      </c>
    </row>
    <row r="392">
      <c r="A392" s="4" t="inlineStr">
        <is>
          <t>Riepilogo</t>
        </is>
      </c>
      <c r="B392" s="4" t="inlineStr">
        <is>
          <t>C02 cliente C</t>
        </is>
      </c>
      <c r="D392" s="15" t="n">
        <v>0</v>
      </c>
      <c r="E392" s="32">
        <f>Riepilogo!E6</f>
        <v/>
      </c>
      <c r="F392" s="31">
        <f>IF(AND(ISNUMBER(D392),ISNUMBER(E392)),E392-D392,"")</f>
        <v/>
      </c>
      <c r="G392" s="4">
        <f>IF(AND(D392="",E392=""),"Sì",IF(AND(ISNUMBER(D392),ISNUMBER(E392)),IF(ABS(E392-D392)&lt;=1E-9*MAX(1,ABS(D392)),"Sì","No"),IF(D392=E392,"Sì","No")))</f>
        <v/>
      </c>
    </row>
    <row r="393">
      <c r="A393" s="4" t="inlineStr">
        <is>
          <t>Riepilogo</t>
        </is>
      </c>
      <c r="B393" s="4" t="inlineStr">
        <is>
          <t>C03 cliente A</t>
        </is>
      </c>
      <c r="D393" s="15" t="n">
        <v>2</v>
      </c>
      <c r="E393" s="32">
        <f>Riepilogo!C7</f>
        <v/>
      </c>
      <c r="F393" s="31">
        <f>IF(AND(ISNUMBER(D393),ISNUMBER(E393)),E393-D393,"")</f>
        <v/>
      </c>
      <c r="G393" s="4">
        <f>IF(AND(D393="",E393=""),"Sì",IF(AND(ISNUMBER(D393),ISNUMBER(E393)),IF(ABS(E393-D393)&lt;=1E-9*MAX(1,ABS(D393)),"Sì","No"),IF(D393=E393,"Sì","No")))</f>
        <v/>
      </c>
    </row>
    <row r="394">
      <c r="A394" s="4" t="inlineStr">
        <is>
          <t>Riepilogo</t>
        </is>
      </c>
      <c r="B394" s="4" t="inlineStr">
        <is>
          <t>C03 cliente B</t>
        </is>
      </c>
      <c r="D394" s="15" t="n">
        <v>1</v>
      </c>
      <c r="E394" s="32">
        <f>Riepilogo!D7</f>
        <v/>
      </c>
      <c r="F394" s="31">
        <f>IF(AND(ISNUMBER(D394),ISNUMBER(E394)),E394-D394,"")</f>
        <v/>
      </c>
      <c r="G394" s="4">
        <f>IF(AND(D394="",E394=""),"Sì",IF(AND(ISNUMBER(D394),ISNUMBER(E394)),IF(ABS(E394-D394)&lt;=1E-9*MAX(1,ABS(D394)),"Sì","No"),IF(D394=E394,"Sì","No")))</f>
        <v/>
      </c>
    </row>
    <row r="395">
      <c r="A395" s="4" t="inlineStr">
        <is>
          <t>Riepilogo</t>
        </is>
      </c>
      <c r="B395" s="4" t="inlineStr">
        <is>
          <t>C03 cliente C</t>
        </is>
      </c>
      <c r="D395" s="15" t="n">
        <v>1</v>
      </c>
      <c r="E395" s="32">
        <f>Riepilogo!E7</f>
        <v/>
      </c>
      <c r="F395" s="31">
        <f>IF(AND(ISNUMBER(D395),ISNUMBER(E395)),E395-D395,"")</f>
        <v/>
      </c>
      <c r="G395" s="4">
        <f>IF(AND(D395="",E395=""),"Sì",IF(AND(ISNUMBER(D395),ISNUMBER(E395)),IF(ABS(E395-D395)&lt;=1E-9*MAX(1,ABS(D395)),"Sì","No"),IF(D395=E395,"Sì","No")))</f>
        <v/>
      </c>
    </row>
    <row r="396">
      <c r="A396" s="4" t="inlineStr">
        <is>
          <t>Riepilogo</t>
        </is>
      </c>
      <c r="B396" s="4" t="inlineStr">
        <is>
          <t>C04 cliente A</t>
        </is>
      </c>
      <c r="D396" s="15" t="n">
        <v>0</v>
      </c>
      <c r="E396" s="32">
        <f>Riepilogo!C8</f>
        <v/>
      </c>
      <c r="F396" s="31">
        <f>IF(AND(ISNUMBER(D396),ISNUMBER(E396)),E396-D396,"")</f>
        <v/>
      </c>
      <c r="G396" s="4">
        <f>IF(AND(D396="",E396=""),"Sì",IF(AND(ISNUMBER(D396),ISNUMBER(E396)),IF(ABS(E396-D396)&lt;=1E-9*MAX(1,ABS(D396)),"Sì","No"),IF(D396=E396,"Sì","No")))</f>
        <v/>
      </c>
    </row>
    <row r="397">
      <c r="A397" s="4" t="inlineStr">
        <is>
          <t>Riepilogo</t>
        </is>
      </c>
      <c r="B397" s="4" t="inlineStr">
        <is>
          <t>C04 cliente B</t>
        </is>
      </c>
      <c r="D397" s="15" t="n">
        <v>2</v>
      </c>
      <c r="E397" s="32">
        <f>Riepilogo!D8</f>
        <v/>
      </c>
      <c r="F397" s="31">
        <f>IF(AND(ISNUMBER(D397),ISNUMBER(E397)),E397-D397,"")</f>
        <v/>
      </c>
      <c r="G397" s="4">
        <f>IF(AND(D397="",E397=""),"Sì",IF(AND(ISNUMBER(D397),ISNUMBER(E397)),IF(ABS(E397-D397)&lt;=1E-9*MAX(1,ABS(D397)),"Sì","No"),IF(D397=E397,"Sì","No")))</f>
        <v/>
      </c>
    </row>
    <row r="398">
      <c r="A398" s="4" t="inlineStr">
        <is>
          <t>Riepilogo</t>
        </is>
      </c>
      <c r="B398" s="4" t="inlineStr">
        <is>
          <t>C04 cliente C</t>
        </is>
      </c>
      <c r="D398" s="15" t="n">
        <v>1</v>
      </c>
      <c r="E398" s="32">
        <f>Riepilogo!E8</f>
        <v/>
      </c>
      <c r="F398" s="31">
        <f>IF(AND(ISNUMBER(D398),ISNUMBER(E398)),E398-D398,"")</f>
        <v/>
      </c>
      <c r="G398" s="4">
        <f>IF(AND(D398="",E398=""),"Sì",IF(AND(ISNUMBER(D398),ISNUMBER(E398)),IF(ABS(E398-D398)&lt;=1E-9*MAX(1,ABS(D398)),"Sì","No"),IF(D398=E398,"Sì","No")))</f>
        <v/>
      </c>
    </row>
    <row r="399">
      <c r="A399" s="4" t="inlineStr">
        <is>
          <t>Riepilogo</t>
        </is>
      </c>
      <c r="B399" s="4" t="inlineStr">
        <is>
          <t>C05 cliente A</t>
        </is>
      </c>
      <c r="D399" s="15" t="n">
        <v>1</v>
      </c>
      <c r="E399" s="32">
        <f>Riepilogo!C9</f>
        <v/>
      </c>
      <c r="F399" s="31">
        <f>IF(AND(ISNUMBER(D399),ISNUMBER(E399)),E399-D399,"")</f>
        <v/>
      </c>
      <c r="G399" s="4">
        <f>IF(AND(D399="",E399=""),"Sì",IF(AND(ISNUMBER(D399),ISNUMBER(E399)),IF(ABS(E399-D399)&lt;=1E-9*MAX(1,ABS(D399)),"Sì","No"),IF(D399=E399,"Sì","No")))</f>
        <v/>
      </c>
    </row>
    <row r="400">
      <c r="A400" s="4" t="inlineStr">
        <is>
          <t>Riepilogo</t>
        </is>
      </c>
      <c r="B400" s="4" t="inlineStr">
        <is>
          <t>C05 cliente B</t>
        </is>
      </c>
      <c r="D400" s="15" t="n">
        <v>2</v>
      </c>
      <c r="E400" s="32">
        <f>Riepilogo!D9</f>
        <v/>
      </c>
      <c r="F400" s="31">
        <f>IF(AND(ISNUMBER(D400),ISNUMBER(E400)),E400-D400,"")</f>
        <v/>
      </c>
      <c r="G400" s="4">
        <f>IF(AND(D400="",E400=""),"Sì",IF(AND(ISNUMBER(D400),ISNUMBER(E400)),IF(ABS(E400-D400)&lt;=1E-9*MAX(1,ABS(D400)),"Sì","No"),IF(D400=E400,"Sì","No")))</f>
        <v/>
      </c>
    </row>
    <row r="401">
      <c r="A401" s="4" t="inlineStr">
        <is>
          <t>Riepilogo</t>
        </is>
      </c>
      <c r="B401" s="4" t="inlineStr">
        <is>
          <t>C05 cliente C</t>
        </is>
      </c>
      <c r="D401" s="15" t="n">
        <v>0</v>
      </c>
      <c r="E401" s="32">
        <f>Riepilogo!E9</f>
        <v/>
      </c>
      <c r="F401" s="31">
        <f>IF(AND(ISNUMBER(D401),ISNUMBER(E401)),E401-D401,"")</f>
        <v/>
      </c>
      <c r="G401" s="4">
        <f>IF(AND(D401="",E401=""),"Sì",IF(AND(ISNUMBER(D401),ISNUMBER(E401)),IF(ABS(E401-D401)&lt;=1E-9*MAX(1,ABS(D401)),"Sì","No"),IF(D401=E401,"Sì","No")))</f>
        <v/>
      </c>
    </row>
    <row r="402">
      <c r="A402" s="4" t="inlineStr">
        <is>
          <t>Riepilogo</t>
        </is>
      </c>
      <c r="B402" s="4" t="inlineStr">
        <is>
          <t>C06 cliente A</t>
        </is>
      </c>
      <c r="D402" s="15" t="n">
        <v>1</v>
      </c>
      <c r="E402" s="32">
        <f>Riepilogo!C10</f>
        <v/>
      </c>
      <c r="F402" s="31">
        <f>IF(AND(ISNUMBER(D402),ISNUMBER(E402)),E402-D402,"")</f>
        <v/>
      </c>
      <c r="G402" s="4">
        <f>IF(AND(D402="",E402=""),"Sì",IF(AND(ISNUMBER(D402),ISNUMBER(E402)),IF(ABS(E402-D402)&lt;=1E-9*MAX(1,ABS(D402)),"Sì","No"),IF(D402=E402,"Sì","No")))</f>
        <v/>
      </c>
    </row>
    <row r="403">
      <c r="A403" s="4" t="inlineStr">
        <is>
          <t>Riepilogo</t>
        </is>
      </c>
      <c r="B403" s="4" t="inlineStr">
        <is>
          <t>C06 cliente B</t>
        </is>
      </c>
      <c r="D403" s="15" t="n">
        <v>0</v>
      </c>
      <c r="E403" s="32">
        <f>Riepilogo!D10</f>
        <v/>
      </c>
      <c r="F403" s="31">
        <f>IF(AND(ISNUMBER(D403),ISNUMBER(E403)),E403-D403,"")</f>
        <v/>
      </c>
      <c r="G403" s="4">
        <f>IF(AND(D403="",E403=""),"Sì",IF(AND(ISNUMBER(D403),ISNUMBER(E403)),IF(ABS(E403-D403)&lt;=1E-9*MAX(1,ABS(D403)),"Sì","No"),IF(D403=E403,"Sì","No")))</f>
        <v/>
      </c>
    </row>
    <row r="404">
      <c r="A404" s="4" t="inlineStr">
        <is>
          <t>Riepilogo</t>
        </is>
      </c>
      <c r="B404" s="4" t="inlineStr">
        <is>
          <t>C06 cliente C</t>
        </is>
      </c>
      <c r="D404" s="15" t="n">
        <v>1</v>
      </c>
      <c r="E404" s="32">
        <f>Riepilogo!E10</f>
        <v/>
      </c>
      <c r="F404" s="31">
        <f>IF(AND(ISNUMBER(D404),ISNUMBER(E404)),E404-D404,"")</f>
        <v/>
      </c>
      <c r="G404" s="4">
        <f>IF(AND(D404="",E404=""),"Sì",IF(AND(ISNUMBER(D404),ISNUMBER(E404)),IF(ABS(E404-D404)&lt;=1E-9*MAX(1,ABS(D404)),"Sì","No"),IF(D404=E404,"Sì","No")))</f>
        <v/>
      </c>
    </row>
    <row r="405">
      <c r="A405" s="4" t="inlineStr">
        <is>
          <t>Riepilogo</t>
        </is>
      </c>
      <c r="B405" s="4" t="inlineStr">
        <is>
          <t>C07 cliente A</t>
        </is>
      </c>
      <c r="D405" s="15" t="n">
        <v>0</v>
      </c>
      <c r="E405" s="32">
        <f>Riepilogo!C11</f>
        <v/>
      </c>
      <c r="F405" s="31">
        <f>IF(AND(ISNUMBER(D405),ISNUMBER(E405)),E405-D405,"")</f>
        <v/>
      </c>
      <c r="G405" s="4">
        <f>IF(AND(D405="",E405=""),"Sì",IF(AND(ISNUMBER(D405),ISNUMBER(E405)),IF(ABS(E405-D405)&lt;=1E-9*MAX(1,ABS(D405)),"Sì","No"),IF(D405=E405,"Sì","No")))</f>
        <v/>
      </c>
    </row>
    <row r="406">
      <c r="A406" s="4" t="inlineStr">
        <is>
          <t>Riepilogo</t>
        </is>
      </c>
      <c r="B406" s="4" t="inlineStr">
        <is>
          <t>C07 cliente B</t>
        </is>
      </c>
      <c r="D406" s="15" t="n">
        <v>1</v>
      </c>
      <c r="E406" s="32">
        <f>Riepilogo!D11</f>
        <v/>
      </c>
      <c r="F406" s="31">
        <f>IF(AND(ISNUMBER(D406),ISNUMBER(E406)),E406-D406,"")</f>
        <v/>
      </c>
      <c r="G406" s="4">
        <f>IF(AND(D406="",E406=""),"Sì",IF(AND(ISNUMBER(D406),ISNUMBER(E406)),IF(ABS(E406-D406)&lt;=1E-9*MAX(1,ABS(D406)),"Sì","No"),IF(D406=E406,"Sì","No")))</f>
        <v/>
      </c>
    </row>
    <row r="407">
      <c r="A407" s="4" t="inlineStr">
        <is>
          <t>Riepilogo</t>
        </is>
      </c>
      <c r="B407" s="4" t="inlineStr">
        <is>
          <t>C07 cliente C</t>
        </is>
      </c>
      <c r="D407" s="15" t="n">
        <v>1</v>
      </c>
      <c r="E407" s="32">
        <f>Riepilogo!E11</f>
        <v/>
      </c>
      <c r="F407" s="31">
        <f>IF(AND(ISNUMBER(D407),ISNUMBER(E407)),E407-D407,"")</f>
        <v/>
      </c>
      <c r="G407" s="4">
        <f>IF(AND(D407="",E407=""),"Sì",IF(AND(ISNUMBER(D407),ISNUMBER(E407)),IF(ABS(E407-D407)&lt;=1E-9*MAX(1,ABS(D407)),"Sì","No"),IF(D407=E407,"Sì","No")))</f>
        <v/>
      </c>
    </row>
    <row r="408">
      <c r="A408" s="4" t="inlineStr">
        <is>
          <t>Riepilogo</t>
        </is>
      </c>
      <c r="B408" s="4" t="inlineStr">
        <is>
          <t>C08 cliente A</t>
        </is>
      </c>
      <c r="D408" s="15" t="n">
        <v>0</v>
      </c>
      <c r="E408" s="32">
        <f>Riepilogo!C12</f>
        <v/>
      </c>
      <c r="F408" s="31">
        <f>IF(AND(ISNUMBER(D408),ISNUMBER(E408)),E408-D408,"")</f>
        <v/>
      </c>
      <c r="G408" s="4">
        <f>IF(AND(D408="",E408=""),"Sì",IF(AND(ISNUMBER(D408),ISNUMBER(E408)),IF(ABS(E408-D408)&lt;=1E-9*MAX(1,ABS(D408)),"Sì","No"),IF(D408=E408,"Sì","No")))</f>
        <v/>
      </c>
    </row>
    <row r="409">
      <c r="A409" s="4" t="inlineStr">
        <is>
          <t>Riepilogo</t>
        </is>
      </c>
      <c r="B409" s="4" t="inlineStr">
        <is>
          <t>C08 cliente B</t>
        </is>
      </c>
      <c r="D409" s="15" t="n">
        <v>0</v>
      </c>
      <c r="E409" s="32">
        <f>Riepilogo!D12</f>
        <v/>
      </c>
      <c r="F409" s="31">
        <f>IF(AND(ISNUMBER(D409),ISNUMBER(E409)),E409-D409,"")</f>
        <v/>
      </c>
      <c r="G409" s="4">
        <f>IF(AND(D409="",E409=""),"Sì",IF(AND(ISNUMBER(D409),ISNUMBER(E409)),IF(ABS(E409-D409)&lt;=1E-9*MAX(1,ABS(D409)),"Sì","No"),IF(D409=E409,"Sì","No")))</f>
        <v/>
      </c>
    </row>
    <row r="410">
      <c r="A410" s="4" t="inlineStr">
        <is>
          <t>Riepilogo</t>
        </is>
      </c>
      <c r="B410" s="4" t="inlineStr">
        <is>
          <t>C08 cliente C</t>
        </is>
      </c>
      <c r="D410" s="15" t="n">
        <v>1</v>
      </c>
      <c r="E410" s="32">
        <f>Riepilogo!E12</f>
        <v/>
      </c>
      <c r="F410" s="31">
        <f>IF(AND(ISNUMBER(D410),ISNUMBER(E410)),E410-D410,"")</f>
        <v/>
      </c>
      <c r="G410" s="4">
        <f>IF(AND(D410="",E410=""),"Sì",IF(AND(ISNUMBER(D410),ISNUMBER(E410)),IF(ABS(E410-D410)&lt;=1E-9*MAX(1,ABS(D410)),"Sì","No"),IF(D410=E410,"Sì","No")))</f>
        <v/>
      </c>
    </row>
    <row r="411">
      <c r="A411" s="4" t="inlineStr">
        <is>
          <t>Riepilogo</t>
        </is>
      </c>
      <c r="B411" s="4" t="inlineStr">
        <is>
          <t>C09 cliente A</t>
        </is>
      </c>
      <c r="D411" s="15" t="n">
        <v>0</v>
      </c>
      <c r="E411" s="32">
        <f>Riepilogo!C13</f>
        <v/>
      </c>
      <c r="F411" s="31">
        <f>IF(AND(ISNUMBER(D411),ISNUMBER(E411)),E411-D411,"")</f>
        <v/>
      </c>
      <c r="G411" s="4">
        <f>IF(AND(D411="",E411=""),"Sì",IF(AND(ISNUMBER(D411),ISNUMBER(E411)),IF(ABS(E411-D411)&lt;=1E-9*MAX(1,ABS(D411)),"Sì","No"),IF(D411=E411,"Sì","No")))</f>
        <v/>
      </c>
    </row>
    <row r="412">
      <c r="A412" s="4" t="inlineStr">
        <is>
          <t>Riepilogo</t>
        </is>
      </c>
      <c r="B412" s="4" t="inlineStr">
        <is>
          <t>C09 cliente B</t>
        </is>
      </c>
      <c r="D412" s="15" t="n">
        <v>1</v>
      </c>
      <c r="E412" s="32">
        <f>Riepilogo!D13</f>
        <v/>
      </c>
      <c r="F412" s="31">
        <f>IF(AND(ISNUMBER(D412),ISNUMBER(E412)),E412-D412,"")</f>
        <v/>
      </c>
      <c r="G412" s="4">
        <f>IF(AND(D412="",E412=""),"Sì",IF(AND(ISNUMBER(D412),ISNUMBER(E412)),IF(ABS(E412-D412)&lt;=1E-9*MAX(1,ABS(D412)),"Sì","No"),IF(D412=E412,"Sì","No")))</f>
        <v/>
      </c>
    </row>
    <row r="413">
      <c r="A413" s="4" t="inlineStr">
        <is>
          <t>Riepilogo</t>
        </is>
      </c>
      <c r="B413" s="4" t="inlineStr">
        <is>
          <t>C09 cliente C</t>
        </is>
      </c>
      <c r="D413" s="15" t="n">
        <v>1</v>
      </c>
      <c r="E413" s="32">
        <f>Riepilogo!E13</f>
        <v/>
      </c>
      <c r="F413" s="31">
        <f>IF(AND(ISNUMBER(D413),ISNUMBER(E413)),E413-D413,"")</f>
        <v/>
      </c>
      <c r="G413" s="4">
        <f>IF(AND(D413="",E413=""),"Sì",IF(AND(ISNUMBER(D413),ISNUMBER(E413)),IF(ABS(E413-D413)&lt;=1E-9*MAX(1,ABS(D413)),"Sì","No"),IF(D413=E413,"Sì","No")))</f>
        <v/>
      </c>
    </row>
    <row r="414">
      <c r="A414" s="4" t="inlineStr">
        <is>
          <t>Riepilogo</t>
        </is>
      </c>
      <c r="B414" s="4" t="inlineStr">
        <is>
          <t>Segnalazioni totali</t>
        </is>
      </c>
      <c r="D414" s="15" t="n">
        <v>27</v>
      </c>
      <c r="E414" s="32">
        <f>Riepilogo!F14</f>
        <v/>
      </c>
      <c r="F414" s="31">
        <f>IF(AND(ISNUMBER(D414),ISNUMBER(E414)),E414-D414,"")</f>
        <v/>
      </c>
      <c r="G414" s="4">
        <f>IF(AND(D414="",E414=""),"Sì",IF(AND(ISNUMBER(D414),ISNUMBER(E414)),IF(ABS(E414-D414)&lt;=1E-9*MAX(1,ABS(D414)),"Sì","No"),IF(D414=E414,"Sì","No")))</f>
        <v/>
      </c>
    </row>
    <row r="415">
      <c r="A415" s="4" t="inlineStr">
        <is>
          <t>Riepilogo</t>
        </is>
      </c>
      <c r="B415" s="4" t="inlineStr">
        <is>
          <t>Novembre aumento cliente A</t>
        </is>
      </c>
      <c r="D415" s="29" t="n">
        <v>565.41</v>
      </c>
      <c r="E415" s="30">
        <f>Riepilogo!C19</f>
        <v/>
      </c>
      <c r="F415" s="31">
        <f>IF(AND(ISNUMBER(D415),ISNUMBER(E415)),E415-D415,"")</f>
        <v/>
      </c>
      <c r="G415" s="4">
        <f>IF(AND(D415="",E415=""),"Sì",IF(AND(ISNUMBER(D415),ISNUMBER(E415)),IF(ABS(E415-D415)&lt;=1E-9*MAX(1,ABS(D415)),"Sì","No"),IF(D415=E415,"Sì","No")))</f>
        <v/>
      </c>
    </row>
    <row r="416">
      <c r="A416" s="4" t="inlineStr">
        <is>
          <t>Riepilogo</t>
        </is>
      </c>
      <c r="B416" s="4" t="inlineStr">
        <is>
          <t>Novembre aumento cliente B</t>
        </is>
      </c>
      <c r="D416" s="29" t="n">
        <v>2492.17</v>
      </c>
      <c r="E416" s="30">
        <f>Riepilogo!D19</f>
        <v/>
      </c>
      <c r="F416" s="31">
        <f>IF(AND(ISNUMBER(D416),ISNUMBER(E416)),E416-D416,"")</f>
        <v/>
      </c>
      <c r="G416" s="4">
        <f>IF(AND(D416="",E416=""),"Sì",IF(AND(ISNUMBER(D416),ISNUMBER(E416)),IF(ABS(E416-D416)&lt;=1E-9*MAX(1,ABS(D416)),"Sì","No"),IF(D416=E416,"Sì","No")))</f>
        <v/>
      </c>
    </row>
    <row r="417">
      <c r="A417" s="4" t="inlineStr">
        <is>
          <t>Riepilogo</t>
        </is>
      </c>
      <c r="B417" s="4" t="inlineStr">
        <is>
          <t>Novembre aumento cliente C</t>
        </is>
      </c>
      <c r="D417" s="29" t="n">
        <v>872.47</v>
      </c>
      <c r="E417" s="30">
        <f>Riepilogo!E19</f>
        <v/>
      </c>
      <c r="F417" s="31">
        <f>IF(AND(ISNUMBER(D417),ISNUMBER(E417)),E417-D417,"")</f>
        <v/>
      </c>
      <c r="G417" s="4">
        <f>IF(AND(D417="",E417=""),"Sì",IF(AND(ISNUMBER(D417),ISNUMBER(E417)),IF(ABS(E417-D417)&lt;=1E-9*MAX(1,ABS(D417)),"Sì","No"),IF(D417=E417,"Sì","No")))</f>
        <v/>
      </c>
    </row>
    <row r="418">
      <c r="A418" s="4" t="inlineStr">
        <is>
          <t>Riepilogo</t>
        </is>
      </c>
      <c r="B418" s="4" t="inlineStr">
        <is>
          <t>Novembre assorbito cliente A</t>
        </is>
      </c>
      <c r="D418" s="29" t="n">
        <v>277.65</v>
      </c>
      <c r="E418" s="30">
        <f>Riepilogo!C20</f>
        <v/>
      </c>
      <c r="F418" s="31">
        <f>IF(AND(ISNUMBER(D418),ISNUMBER(E418)),E418-D418,"")</f>
        <v/>
      </c>
      <c r="G418" s="4">
        <f>IF(AND(D418="",E418=""),"Sì",IF(AND(ISNUMBER(D418),ISNUMBER(E418)),IF(ABS(E418-D418)&lt;=1E-9*MAX(1,ABS(D418)),"Sì","No"),IF(D418=E418,"Sì","No")))</f>
        <v/>
      </c>
    </row>
    <row r="419">
      <c r="A419" s="4" t="inlineStr">
        <is>
          <t>Riepilogo</t>
        </is>
      </c>
      <c r="B419" s="4" t="inlineStr">
        <is>
          <t>Novembre assorbito cliente B</t>
        </is>
      </c>
      <c r="D419" s="29" t="n">
        <v>921.74</v>
      </c>
      <c r="E419" s="30">
        <f>Riepilogo!D20</f>
        <v/>
      </c>
      <c r="F419" s="31">
        <f>IF(AND(ISNUMBER(D419),ISNUMBER(E419)),E419-D419,"")</f>
        <v/>
      </c>
      <c r="G419" s="4">
        <f>IF(AND(D419="",E419=""),"Sì",IF(AND(ISNUMBER(D419),ISNUMBER(E419)),IF(ABS(E419-D419)&lt;=1E-9*MAX(1,ABS(D419)),"Sì","No"),IF(D419=E419,"Sì","No")))</f>
        <v/>
      </c>
    </row>
    <row r="420">
      <c r="A420" s="4" t="inlineStr">
        <is>
          <t>Riepilogo</t>
        </is>
      </c>
      <c r="B420" s="4" t="inlineStr">
        <is>
          <t>Novembre assorbito cliente C</t>
        </is>
      </c>
      <c r="D420" s="29" t="n">
        <v>306.15</v>
      </c>
      <c r="E420" s="30">
        <f>Riepilogo!E20</f>
        <v/>
      </c>
      <c r="F420" s="31">
        <f>IF(AND(ISNUMBER(D420),ISNUMBER(E420)),E420-D420,"")</f>
        <v/>
      </c>
      <c r="G420" s="4">
        <f>IF(AND(D420="",E420=""),"Sì",IF(AND(ISNUMBER(D420),ISNUMBER(E420)),IF(ABS(E420-D420)&lt;=1E-9*MAX(1,ABS(D420)),"Sì","No"),IF(D420=E420,"Sì","No")))</f>
        <v/>
      </c>
    </row>
    <row r="421">
      <c r="A421" s="4" t="inlineStr">
        <is>
          <t>Riepilogo</t>
        </is>
      </c>
      <c r="B421" s="4" t="inlineStr">
        <is>
          <t>Novembre da_pagare cliente A</t>
        </is>
      </c>
      <c r="D421" s="29" t="n">
        <v>287.76</v>
      </c>
      <c r="E421" s="30">
        <f>Riepilogo!C21</f>
        <v/>
      </c>
      <c r="F421" s="31">
        <f>IF(AND(ISNUMBER(D421),ISNUMBER(E421)),E421-D421,"")</f>
        <v/>
      </c>
      <c r="G421" s="4">
        <f>IF(AND(D421="",E421=""),"Sì",IF(AND(ISNUMBER(D421),ISNUMBER(E421)),IF(ABS(E421-D421)&lt;=1E-9*MAX(1,ABS(D421)),"Sì","No"),IF(D421=E421,"Sì","No")))</f>
        <v/>
      </c>
    </row>
    <row r="422">
      <c r="A422" s="4" t="inlineStr">
        <is>
          <t>Riepilogo</t>
        </is>
      </c>
      <c r="B422" s="4" t="inlineStr">
        <is>
          <t>Novembre da_pagare cliente B</t>
        </is>
      </c>
      <c r="D422" s="29" t="n">
        <v>1570.43</v>
      </c>
      <c r="E422" s="30">
        <f>Riepilogo!D21</f>
        <v/>
      </c>
      <c r="F422" s="31">
        <f>IF(AND(ISNUMBER(D422),ISNUMBER(E422)),E422-D422,"")</f>
        <v/>
      </c>
      <c r="G422" s="4">
        <f>IF(AND(D422="",E422=""),"Sì",IF(AND(ISNUMBER(D422),ISNUMBER(E422)),IF(ABS(E422-D422)&lt;=1E-9*MAX(1,ABS(D422)),"Sì","No"),IF(D422=E422,"Sì","No")))</f>
        <v/>
      </c>
    </row>
    <row r="423">
      <c r="A423" s="4" t="inlineStr">
        <is>
          <t>Riepilogo</t>
        </is>
      </c>
      <c r="B423" s="4" t="inlineStr">
        <is>
          <t>Novembre da_pagare cliente C</t>
        </is>
      </c>
      <c r="D423" s="29" t="n">
        <v>566.3200000000001</v>
      </c>
      <c r="E423" s="30">
        <f>Riepilogo!E21</f>
        <v/>
      </c>
      <c r="F423" s="31">
        <f>IF(AND(ISNUMBER(D423),ISNUMBER(E423)),E423-D423,"")</f>
        <v/>
      </c>
      <c r="G423" s="4">
        <f>IF(AND(D423="",E423=""),"Sì",IF(AND(ISNUMBER(D423),ISNUMBER(E423)),IF(ABS(E423-D423)&lt;=1E-9*MAX(1,ABS(D423)),"Sì","No"),IF(D423=E423,"Sì","No")))</f>
        <v/>
      </c>
    </row>
  </sheetData>
  <conditionalFormatting sqref="G7:G423">
    <cfRule type="cellIs" priority="1" operator="equal" dxfId="1">
      <formula>"Sì"</formula>
    </cfRule>
    <cfRule type="cellIs" priority="2" operator="equal" dxfId="0">
      <formula>"No"</formula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Domenico Perroni</dc:creator>
  <dc:title xmlns:dc="http://purl.org/dc/elements/1.1/">Controlli cedolini</dc:title>
  <dcterms:created xmlns:dcterms="http://purl.org/dc/terms/" xmlns:xsi="http://www.w3.org/2001/XMLSchema-instance" xsi:type="dcterms:W3CDTF">2026-01-01T00:00:00Z</dcterms:created>
  <dcterms:modified xmlns:dcterms="http://purl.org/dc/terms/" xmlns:xsi="http://www.w3.org/2001/XMLSchema-instance" xsi:type="dcterms:W3CDTF">2026-01-01T00:00:00Z</dcterms:modified>
</cp:coreProperties>
</file>